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DC2E2E-F1C6-43F1-835B-04CDE92D7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1" r:id="rId1"/>
    <sheet name="Sampul" sheetId="12" r:id="rId2"/>
    <sheet name="ComponentsMaster" sheetId="1" r:id="rId3"/>
    <sheet name="RawData" sheetId="2" r:id="rId4"/>
    <sheet name="Pivot Table" sheetId="8" r:id="rId5"/>
    <sheet name="Forecast Target&amp;Actual" sheetId="3" r:id="rId6"/>
    <sheet name="Summary_Calculations" sheetId="4" r:id="rId7"/>
    <sheet name="Balance_Check" sheetId="5" r:id="rId8"/>
    <sheet name="Sheet3" sheetId="9" state="hidden" r:id="rId9"/>
  </sheets>
  <definedNames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'Forecast Target&amp;Actual'!#REF!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" i="12" l="1"/>
  <c r="G6" i="3"/>
  <c r="G7" i="3"/>
  <c r="G8" i="3"/>
  <c r="G9" i="3"/>
  <c r="G10" i="3"/>
  <c r="G11" i="3"/>
  <c r="G12" i="3"/>
  <c r="G13" i="3"/>
  <c r="G14" i="3"/>
  <c r="G15" i="3"/>
  <c r="F4" i="3"/>
  <c r="F5" i="3"/>
  <c r="F6" i="3"/>
  <c r="F7" i="3"/>
  <c r="F8" i="3"/>
  <c r="F9" i="3"/>
  <c r="F10" i="3"/>
  <c r="F11" i="3"/>
  <c r="F12" i="3"/>
  <c r="F13" i="3"/>
  <c r="F14" i="3"/>
  <c r="F15" i="3"/>
  <c r="D4" i="3"/>
  <c r="D15" i="3"/>
  <c r="E15" i="3"/>
  <c r="E6" i="3"/>
  <c r="E7" i="3"/>
  <c r="E8" i="3"/>
  <c r="E9" i="3"/>
  <c r="E10" i="3"/>
  <c r="E11" i="3"/>
  <c r="E12" i="3"/>
  <c r="E13" i="3"/>
  <c r="E14" i="3"/>
  <c r="D5" i="3"/>
  <c r="D6" i="3"/>
  <c r="D7" i="3"/>
  <c r="D8" i="3"/>
  <c r="D9" i="3"/>
  <c r="D10" i="3"/>
  <c r="D11" i="3"/>
  <c r="D12" i="3"/>
  <c r="D13" i="3"/>
  <c r="D1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2" i="3"/>
  <c r="C2" i="5"/>
  <c r="G2" i="2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E2" i="5" s="1"/>
  <c r="B4" i="4"/>
  <c r="B3" i="4"/>
  <c r="B2" i="4"/>
  <c r="G81" i="2"/>
  <c r="J81" i="2"/>
  <c r="K81" i="2" s="1"/>
  <c r="G80" i="2"/>
  <c r="J80" i="2"/>
  <c r="K80" i="2" s="1"/>
  <c r="G79" i="2"/>
  <c r="J79" i="2"/>
  <c r="K79" i="2" s="1"/>
  <c r="G78" i="2"/>
  <c r="J78" i="2"/>
  <c r="K78" i="2" s="1"/>
  <c r="G77" i="2"/>
  <c r="J77" i="2"/>
  <c r="K77" i="2" s="1"/>
  <c r="G76" i="2"/>
  <c r="J76" i="2"/>
  <c r="K76" i="2" s="1"/>
  <c r="G75" i="2"/>
  <c r="J75" i="2"/>
  <c r="K75" i="2" s="1"/>
  <c r="G74" i="2"/>
  <c r="J74" i="2"/>
  <c r="K74" i="2" s="1"/>
  <c r="G73" i="2"/>
  <c r="J73" i="2"/>
  <c r="K73" i="2" s="1"/>
  <c r="G72" i="2"/>
  <c r="J72" i="2"/>
  <c r="K72" i="2" s="1"/>
  <c r="G71" i="2"/>
  <c r="J71" i="2"/>
  <c r="K71" i="2" s="1"/>
  <c r="G70" i="2"/>
  <c r="J70" i="2"/>
  <c r="K70" i="2" s="1"/>
  <c r="G69" i="2"/>
  <c r="J69" i="2"/>
  <c r="K69" i="2" s="1"/>
  <c r="G68" i="2"/>
  <c r="J68" i="2"/>
  <c r="K68" i="2" s="1"/>
  <c r="G67" i="2"/>
  <c r="J67" i="2"/>
  <c r="K67" i="2" s="1"/>
  <c r="G66" i="2"/>
  <c r="J66" i="2"/>
  <c r="K66" i="2" s="1"/>
  <c r="G65" i="2"/>
  <c r="J65" i="2"/>
  <c r="K65" i="2" s="1"/>
  <c r="G64" i="2"/>
  <c r="J64" i="2"/>
  <c r="K64" i="2" s="1"/>
  <c r="G63" i="2"/>
  <c r="J63" i="2"/>
  <c r="K63" i="2" s="1"/>
  <c r="G62" i="2"/>
  <c r="J62" i="2"/>
  <c r="K62" i="2" s="1"/>
  <c r="G61" i="2"/>
  <c r="J61" i="2"/>
  <c r="K61" i="2" s="1"/>
  <c r="G60" i="2"/>
  <c r="J60" i="2"/>
  <c r="K60" i="2" s="1"/>
  <c r="G59" i="2"/>
  <c r="J59" i="2"/>
  <c r="K59" i="2" s="1"/>
  <c r="G58" i="2"/>
  <c r="J58" i="2"/>
  <c r="K58" i="2" s="1"/>
  <c r="G57" i="2"/>
  <c r="J57" i="2"/>
  <c r="K57" i="2" s="1"/>
  <c r="G56" i="2"/>
  <c r="J56" i="2"/>
  <c r="K56" i="2" s="1"/>
  <c r="G55" i="2"/>
  <c r="J55" i="2"/>
  <c r="K55" i="2" s="1"/>
  <c r="G54" i="2"/>
  <c r="J54" i="2"/>
  <c r="K54" i="2" s="1"/>
  <c r="G53" i="2"/>
  <c r="J53" i="2"/>
  <c r="K53" i="2" s="1"/>
  <c r="G52" i="2"/>
  <c r="J52" i="2"/>
  <c r="K52" i="2" s="1"/>
  <c r="G51" i="2"/>
  <c r="J51" i="2"/>
  <c r="K51" i="2" s="1"/>
  <c r="G50" i="2"/>
  <c r="J50" i="2"/>
  <c r="K50" i="2" s="1"/>
  <c r="G49" i="2"/>
  <c r="J49" i="2"/>
  <c r="K49" i="2" s="1"/>
  <c r="G48" i="2"/>
  <c r="J48" i="2"/>
  <c r="K48" i="2" s="1"/>
  <c r="G47" i="2"/>
  <c r="J47" i="2"/>
  <c r="K47" i="2" s="1"/>
  <c r="G46" i="2"/>
  <c r="J46" i="2"/>
  <c r="K46" i="2" s="1"/>
  <c r="G45" i="2"/>
  <c r="J45" i="2"/>
  <c r="K45" i="2" s="1"/>
  <c r="G44" i="2"/>
  <c r="J44" i="2"/>
  <c r="K44" i="2" s="1"/>
  <c r="G43" i="2"/>
  <c r="J43" i="2"/>
  <c r="K43" i="2" s="1"/>
  <c r="G42" i="2"/>
  <c r="J42" i="2"/>
  <c r="K42" i="2" s="1"/>
  <c r="G41" i="2"/>
  <c r="J41" i="2"/>
  <c r="K41" i="2" s="1"/>
  <c r="G40" i="2"/>
  <c r="J40" i="2"/>
  <c r="K40" i="2" s="1"/>
  <c r="G39" i="2"/>
  <c r="J39" i="2"/>
  <c r="K39" i="2" s="1"/>
  <c r="G38" i="2"/>
  <c r="J38" i="2"/>
  <c r="K38" i="2" s="1"/>
  <c r="G37" i="2"/>
  <c r="J37" i="2"/>
  <c r="K37" i="2" s="1"/>
  <c r="G36" i="2"/>
  <c r="J36" i="2"/>
  <c r="K36" i="2" s="1"/>
  <c r="G35" i="2"/>
  <c r="J35" i="2"/>
  <c r="K35" i="2" s="1"/>
  <c r="G34" i="2"/>
  <c r="J34" i="2"/>
  <c r="K34" i="2" s="1"/>
  <c r="G33" i="2"/>
  <c r="J33" i="2"/>
  <c r="K33" i="2" s="1"/>
  <c r="G32" i="2"/>
  <c r="J32" i="2"/>
  <c r="K32" i="2" s="1"/>
  <c r="G31" i="2"/>
  <c r="J31" i="2"/>
  <c r="K31" i="2" s="1"/>
  <c r="G30" i="2"/>
  <c r="J30" i="2"/>
  <c r="K30" i="2" s="1"/>
  <c r="G29" i="2"/>
  <c r="J29" i="2"/>
  <c r="K29" i="2" s="1"/>
  <c r="G28" i="2"/>
  <c r="J28" i="2"/>
  <c r="K28" i="2" s="1"/>
  <c r="G27" i="2"/>
  <c r="J27" i="2"/>
  <c r="K27" i="2" s="1"/>
  <c r="G26" i="2"/>
  <c r="J26" i="2"/>
  <c r="K26" i="2" s="1"/>
  <c r="G25" i="2"/>
  <c r="J25" i="2"/>
  <c r="K25" i="2" s="1"/>
  <c r="G24" i="2"/>
  <c r="J24" i="2"/>
  <c r="K24" i="2" s="1"/>
  <c r="G23" i="2"/>
  <c r="J23" i="2"/>
  <c r="K23" i="2" s="1"/>
  <c r="G22" i="2"/>
  <c r="J22" i="2"/>
  <c r="K22" i="2" s="1"/>
  <c r="G21" i="2"/>
  <c r="J21" i="2"/>
  <c r="K21" i="2" s="1"/>
  <c r="G20" i="2"/>
  <c r="J20" i="2"/>
  <c r="K20" i="2" s="1"/>
  <c r="G19" i="2"/>
  <c r="J19" i="2"/>
  <c r="K19" i="2" s="1"/>
  <c r="G18" i="2"/>
  <c r="J18" i="2"/>
  <c r="K18" i="2" s="1"/>
  <c r="G17" i="2"/>
  <c r="J17" i="2"/>
  <c r="K17" i="2" s="1"/>
  <c r="G16" i="2"/>
  <c r="J16" i="2"/>
  <c r="K16" i="2" s="1"/>
  <c r="G15" i="2"/>
  <c r="J15" i="2"/>
  <c r="K15" i="2" s="1"/>
  <c r="G14" i="2"/>
  <c r="J14" i="2"/>
  <c r="K14" i="2" s="1"/>
  <c r="G13" i="2"/>
  <c r="J13" i="2"/>
  <c r="K13" i="2" s="1"/>
  <c r="G12" i="2"/>
  <c r="J12" i="2"/>
  <c r="K12" i="2" s="1"/>
  <c r="G11" i="2"/>
  <c r="J11" i="2"/>
  <c r="K11" i="2" s="1"/>
  <c r="G10" i="2"/>
  <c r="J10" i="2"/>
  <c r="K10" i="2" s="1"/>
  <c r="G9" i="2"/>
  <c r="J9" i="2"/>
  <c r="K9" i="2" s="1"/>
  <c r="G8" i="2"/>
  <c r="J8" i="2"/>
  <c r="K8" i="2" s="1"/>
  <c r="G7" i="2"/>
  <c r="J7" i="2"/>
  <c r="K7" i="2" s="1"/>
  <c r="G6" i="2"/>
  <c r="J6" i="2"/>
  <c r="K6" i="2" s="1"/>
  <c r="G5" i="2"/>
  <c r="J5" i="2"/>
  <c r="K5" i="2" s="1"/>
  <c r="G4" i="2"/>
  <c r="J4" i="2"/>
  <c r="K4" i="2" s="1"/>
  <c r="G3" i="2"/>
  <c r="J3" i="2"/>
  <c r="K3" i="2" s="1"/>
  <c r="J2" i="2"/>
  <c r="K2" i="2" s="1"/>
  <c r="E8" i="5" l="1"/>
  <c r="E20" i="5"/>
  <c r="E3" i="5"/>
  <c r="E7" i="5"/>
  <c r="E16" i="5"/>
  <c r="E17" i="5"/>
  <c r="E18" i="5"/>
  <c r="E19" i="5"/>
  <c r="E11" i="5"/>
  <c r="E4" i="5"/>
  <c r="E9" i="5"/>
  <c r="E15" i="5"/>
  <c r="E10" i="5"/>
  <c r="E12" i="5"/>
  <c r="E5" i="5"/>
  <c r="E21" i="5"/>
  <c r="E13" i="5"/>
  <c r="E14" i="5"/>
  <c r="E6" i="5"/>
  <c r="B8" i="4"/>
  <c r="B7" i="4"/>
  <c r="B6" i="4"/>
  <c r="B5" i="4"/>
</calcChain>
</file>

<file path=xl/sharedStrings.xml><?xml version="1.0" encoding="utf-8"?>
<sst xmlns="http://schemas.openxmlformats.org/spreadsheetml/2006/main" count="1054" uniqueCount="380">
  <si>
    <t>ComponentCode</t>
  </si>
  <si>
    <t>Description</t>
  </si>
  <si>
    <t>UnitWeight_kg</t>
  </si>
  <si>
    <t>CMP0001</t>
  </si>
  <si>
    <t>Outsole Type 1</t>
  </si>
  <si>
    <t>CMP0002</t>
  </si>
  <si>
    <t>Accessory 2</t>
  </si>
  <si>
    <t>CMP0003</t>
  </si>
  <si>
    <t>Upper Material 3</t>
  </si>
  <si>
    <t>CMP0004</t>
  </si>
  <si>
    <t>Outsole Type 4</t>
  </si>
  <si>
    <t>CMP0005</t>
  </si>
  <si>
    <t>Accessory 5</t>
  </si>
  <si>
    <t>CMP0006</t>
  </si>
  <si>
    <t>Upper Material 6</t>
  </si>
  <si>
    <t>CMP0007</t>
  </si>
  <si>
    <t>Outsole Type 7</t>
  </si>
  <si>
    <t>CMP0008</t>
  </si>
  <si>
    <t>Accessory 8</t>
  </si>
  <si>
    <t>CMP0009</t>
  </si>
  <si>
    <t>Upper Material 9</t>
  </si>
  <si>
    <t>CMP0010</t>
  </si>
  <si>
    <t>Outsole Type 10</t>
  </si>
  <si>
    <t>CMP0011</t>
  </si>
  <si>
    <t>Accessory 11</t>
  </si>
  <si>
    <t>CMP0012</t>
  </si>
  <si>
    <t>Upper Material 12</t>
  </si>
  <si>
    <t>CMP0013</t>
  </si>
  <si>
    <t>Outsole Type 13</t>
  </si>
  <si>
    <t>CMP0014</t>
  </si>
  <si>
    <t>Accessory 14</t>
  </si>
  <si>
    <t>CMP0015</t>
  </si>
  <si>
    <t>Upper Material 15</t>
  </si>
  <si>
    <t>CMP0016</t>
  </si>
  <si>
    <t>Outsole Type 16</t>
  </si>
  <si>
    <t>CMP0017</t>
  </si>
  <si>
    <t>Accessory 17</t>
  </si>
  <si>
    <t>CMP0018</t>
  </si>
  <si>
    <t>Upper Material 18</t>
  </si>
  <si>
    <t>CMP0019</t>
  </si>
  <si>
    <t>Outsole Type 19</t>
  </si>
  <si>
    <t>CMP0020</t>
  </si>
  <si>
    <t>Accessory 20</t>
  </si>
  <si>
    <t>CMP0021</t>
  </si>
  <si>
    <t>Upper Material 21</t>
  </si>
  <si>
    <t>CMP0022</t>
  </si>
  <si>
    <t>Outsole Type 22</t>
  </si>
  <si>
    <t>CMP0023</t>
  </si>
  <si>
    <t>Accessory 23</t>
  </si>
  <si>
    <t>CMP0024</t>
  </si>
  <si>
    <t>Upper Material 24</t>
  </si>
  <si>
    <t>CMP0025</t>
  </si>
  <si>
    <t>Outsole Type 25</t>
  </si>
  <si>
    <t>CMP0026</t>
  </si>
  <si>
    <t>Accessory 26</t>
  </si>
  <si>
    <t>CMP0027</t>
  </si>
  <si>
    <t>Upper Material 27</t>
  </si>
  <si>
    <t>CMP0028</t>
  </si>
  <si>
    <t>Outsole Type 28</t>
  </si>
  <si>
    <t>CMP0029</t>
  </si>
  <si>
    <t>Accessory 29</t>
  </si>
  <si>
    <t>CMP0030</t>
  </si>
  <si>
    <t>Upper Material 30</t>
  </si>
  <si>
    <t>Date</t>
  </si>
  <si>
    <t>Shift</t>
  </si>
  <si>
    <t>Line</t>
  </si>
  <si>
    <t>Process</t>
  </si>
  <si>
    <t>MES_Code</t>
  </si>
  <si>
    <t>SAP_Qty</t>
  </si>
  <si>
    <t>MES_Qty</t>
  </si>
  <si>
    <t>Difference</t>
  </si>
  <si>
    <t>Status</t>
  </si>
  <si>
    <t>ScanTime</t>
  </si>
  <si>
    <t>Remarks</t>
  </si>
  <si>
    <t>Component_Desc</t>
  </si>
  <si>
    <t>B</t>
  </si>
  <si>
    <t>Line-4</t>
  </si>
  <si>
    <t>Cutting</t>
  </si>
  <si>
    <t>HC</t>
  </si>
  <si>
    <t>Over</t>
  </si>
  <si>
    <t>2025-11-11 08:39:00</t>
  </si>
  <si>
    <t>Check</t>
  </si>
  <si>
    <t>A</t>
  </si>
  <si>
    <t>Sewing</t>
  </si>
  <si>
    <t>HU</t>
  </si>
  <si>
    <t>Short</t>
  </si>
  <si>
    <t>2025-11-02 14:01:00</t>
  </si>
  <si>
    <t>Line-5</t>
  </si>
  <si>
    <t>2025-11-01 12:37:00</t>
  </si>
  <si>
    <t>OK</t>
  </si>
  <si>
    <t>2025-11-12 15:42:00</t>
  </si>
  <si>
    <t>StockFitting</t>
  </si>
  <si>
    <t>HS</t>
  </si>
  <si>
    <t>2025-11-05 06:05:00</t>
  </si>
  <si>
    <t>Line-3</t>
  </si>
  <si>
    <t>2025-11-04 16:27:00</t>
  </si>
  <si>
    <t>2025-11-04 08:55:00</t>
  </si>
  <si>
    <t>C</t>
  </si>
  <si>
    <t>Line-1</t>
  </si>
  <si>
    <t>2025-11-03 13:11:00</t>
  </si>
  <si>
    <t>Assembling</t>
  </si>
  <si>
    <t>FG</t>
  </si>
  <si>
    <t>2025-11-12 06:16:00</t>
  </si>
  <si>
    <t>2025-11-02 12:20:00</t>
  </si>
  <si>
    <t>2025-11-11 09:29:00</t>
  </si>
  <si>
    <t>2025-11-12 11:21:00</t>
  </si>
  <si>
    <t>2025-11-09 12:17:00</t>
  </si>
  <si>
    <t>2025-11-02 12:16:00</t>
  </si>
  <si>
    <t>2025-11-10 07:30:00</t>
  </si>
  <si>
    <t>Line-2</t>
  </si>
  <si>
    <t>2025-11-07 06:47:00</t>
  </si>
  <si>
    <t>2025-11-01 14:03:00</t>
  </si>
  <si>
    <t>2025-11-01 11:14:00</t>
  </si>
  <si>
    <t>2025-11-02 16:04:00</t>
  </si>
  <si>
    <t>Match</t>
  </si>
  <si>
    <t>2025-11-04 16:02:00</t>
  </si>
  <si>
    <t>2025-11-04 06:15:00</t>
  </si>
  <si>
    <t>2025-11-09 09:53:00</t>
  </si>
  <si>
    <t>2025-11-10 06:39:00</t>
  </si>
  <si>
    <t>2025-11-01 08:15:00</t>
  </si>
  <si>
    <t>2025-11-09 08:30:00</t>
  </si>
  <si>
    <t>2025-11-04 16:07:00</t>
  </si>
  <si>
    <t>2025-11-12 15:13:00</t>
  </si>
  <si>
    <t>2025-11-11 13:44:00</t>
  </si>
  <si>
    <t>2025-11-12 10:49:00</t>
  </si>
  <si>
    <t>2025-11-09 11:10:00</t>
  </si>
  <si>
    <t>2025-11-07 15:38:00</t>
  </si>
  <si>
    <t>2025-11-04 17:45:00</t>
  </si>
  <si>
    <t>2025-11-08 07:49:00</t>
  </si>
  <si>
    <t>2025-11-10 08:19:00</t>
  </si>
  <si>
    <t>2025-11-05 07:37:00</t>
  </si>
  <si>
    <t>2025-11-13 06:59:00</t>
  </si>
  <si>
    <t>2025-11-14 10:36:00</t>
  </si>
  <si>
    <t>2025-11-01 16:58:00</t>
  </si>
  <si>
    <t>2025-11-13 12:25:00</t>
  </si>
  <si>
    <t>2025-11-13 17:12:00</t>
  </si>
  <si>
    <t>2025-11-03 07:37:00</t>
  </si>
  <si>
    <t>2025-11-12 17:53:00</t>
  </si>
  <si>
    <t>2025-11-07 16:15:00</t>
  </si>
  <si>
    <t>2025-11-06 07:44:00</t>
  </si>
  <si>
    <t>2025-11-05 10:54:00</t>
  </si>
  <si>
    <t>2025-11-03 16:38:00</t>
  </si>
  <si>
    <t>2025-11-04 07:50:00</t>
  </si>
  <si>
    <t>2025-11-13 15:50:00</t>
  </si>
  <si>
    <t>2025-11-06 06:22:00</t>
  </si>
  <si>
    <t>2025-11-02 14:27:00</t>
  </si>
  <si>
    <t>2025-11-02 16:23:00</t>
  </si>
  <si>
    <t>2025-11-07 07:32:00</t>
  </si>
  <si>
    <t>2025-11-02 16:21:00</t>
  </si>
  <si>
    <t>2025-11-06 06:54:00</t>
  </si>
  <si>
    <t>2025-11-14 12:52:00</t>
  </si>
  <si>
    <t>2025-11-06 13:06:00</t>
  </si>
  <si>
    <t>2025-11-10 12:23:00</t>
  </si>
  <si>
    <t>2025-11-05 16:57:00</t>
  </si>
  <si>
    <t>2025-11-13 13:45:00</t>
  </si>
  <si>
    <t>2025-11-01 08:27:00</t>
  </si>
  <si>
    <t>2025-11-12 08:46:00</t>
  </si>
  <si>
    <t>2025-11-08 14:41:00</t>
  </si>
  <si>
    <t>2025-11-09 10:39:00</t>
  </si>
  <si>
    <t>2025-11-02 14:49:00</t>
  </si>
  <si>
    <t>2025-11-07 13:29:00</t>
  </si>
  <si>
    <t>2025-11-02 12:52:00</t>
  </si>
  <si>
    <t>2025-11-09 17:37:00</t>
  </si>
  <si>
    <t>2025-11-05 10:20:00</t>
  </si>
  <si>
    <t>2025-11-14 09:53:00</t>
  </si>
  <si>
    <t>2025-11-11 07:17:00</t>
  </si>
  <si>
    <t>2025-11-10 13:15:00</t>
  </si>
  <si>
    <t>2025-11-14 13:36:00</t>
  </si>
  <si>
    <t>2025-11-06 15:42:00</t>
  </si>
  <si>
    <t>2025-11-10 12:21:00</t>
  </si>
  <si>
    <t>2025-11-04 06:31:00</t>
  </si>
  <si>
    <t>2025-11-12 11:11:00</t>
  </si>
  <si>
    <t>2025-11-02 13:13:00</t>
  </si>
  <si>
    <t>2025-11-01 11:51:00</t>
  </si>
  <si>
    <t>2025-11-11 10:21:00</t>
  </si>
  <si>
    <t>2025-11-04 10:56:00</t>
  </si>
  <si>
    <t>KPI</t>
  </si>
  <si>
    <t>Value</t>
  </si>
  <si>
    <t>Total Scans (records)</t>
  </si>
  <si>
    <t>Total SAP Qty</t>
  </si>
  <si>
    <t>Total MES Qty</t>
  </si>
  <si>
    <t>Total Differences (abs)</t>
  </si>
  <si>
    <t>Matches</t>
  </si>
  <si>
    <t>Shorts</t>
  </si>
  <si>
    <t>Overs</t>
  </si>
  <si>
    <t>Total_SAP_Qty</t>
  </si>
  <si>
    <t>Total_MES_Qty</t>
  </si>
  <si>
    <t>Diff</t>
  </si>
  <si>
    <t>Sum of SAP_Qty</t>
  </si>
  <si>
    <t>Sum of MES_Qty</t>
  </si>
  <si>
    <t>Row Labels</t>
  </si>
  <si>
    <t>Grand Total</t>
  </si>
  <si>
    <t>Actual_per_day</t>
  </si>
  <si>
    <t>Target_per_day</t>
  </si>
  <si>
    <t>Moving Average Actual 1 Week</t>
  </si>
  <si>
    <t>error</t>
  </si>
  <si>
    <t>Moving Average Target 3 days</t>
  </si>
  <si>
    <t>Production Material Accuracy &amp; Component Tracking Dashboard</t>
  </si>
  <si>
    <t>(Manufacturing – Footwear Industry)</t>
  </si>
  <si>
    <t>1. RawData</t>
  </si>
  <si>
    <t>2. ComponentsMaster</t>
  </si>
  <si>
    <t>Line-level performance</t>
  </si>
  <si>
    <t>Total overs, shorts, matches</t>
  </si>
  <si>
    <t>Contains:</t>
  </si>
  <si>
    <t>🔍 Insights &amp; Findings</t>
  </si>
  <si>
    <t>🏭 Industry Process Understanding</t>
  </si>
  <si>
    <t>🎯 Purpose of This File</t>
  </si>
  <si>
    <t>📘 Background</t>
  </si>
  <si>
    <t>Count of Status</t>
  </si>
  <si>
    <t>Count of Line</t>
  </si>
  <si>
    <t>Sum of Difference</t>
  </si>
  <si>
    <t>Production Planning (MES) Portfolio by Riska Amylatul Askiyah</t>
  </si>
  <si>
    <t>to download this file in xlxs format please check this link: github</t>
  </si>
  <si>
    <r>
      <t xml:space="preserve">This portfolio presents a practical data-tracking and analysis system built for the </t>
    </r>
    <r>
      <rPr>
        <b/>
        <sz val="11"/>
        <color theme="1"/>
        <rFont val="Calibri"/>
        <family val="2"/>
        <scheme val="minor"/>
      </rPr>
      <t>footwear manufacturing industry</t>
    </r>
    <r>
      <rPr>
        <sz val="11"/>
        <color theme="1"/>
        <rFont val="Calibri"/>
        <family val="2"/>
        <scheme val="minor"/>
      </rPr>
      <t>.</t>
    </r>
  </si>
  <si>
    <r>
      <t xml:space="preserve">Material accuracy is an essential component of production performance. Differences between </t>
    </r>
    <r>
      <rPr>
        <b/>
        <sz val="11"/>
        <color theme="1"/>
        <rFont val="Calibri"/>
        <family val="2"/>
        <scheme val="minor"/>
      </rPr>
      <t>SAP Qty (planned consumption)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MES Qty (actual scanned consumption)</t>
    </r>
    <r>
      <rPr>
        <sz val="11"/>
        <color theme="1"/>
        <rFont val="Calibri"/>
        <family val="2"/>
        <scheme val="minor"/>
      </rPr>
      <t xml:space="preserve"> commonly occur due to real operational variations such as scrap, scanning mistakes, missing scans, rework, or deviations in process behavior.</t>
    </r>
  </si>
  <si>
    <t>This file demonstrates an end-to-end workflow:</t>
  </si>
  <si>
    <t>extracting production scan data,</t>
  </si>
  <si>
    <t>referencing component master data,</t>
  </si>
  <si>
    <t>validating quantity accuracy,</t>
  </si>
  <si>
    <t>analyzing variances,</t>
  </si>
  <si>
    <t>summarizing trends,</t>
  </si>
  <si>
    <t>forecasting values, and</t>
  </si>
  <si>
    <t>visualizing manufacturing performance using Excel.</t>
  </si>
  <si>
    <r>
      <t xml:space="preserve">The structure and analysis fully align with the responsibilities of a </t>
    </r>
    <r>
      <rPr>
        <b/>
        <sz val="11"/>
        <color theme="1"/>
        <rFont val="Calibri"/>
        <family val="2"/>
        <scheme val="minor"/>
      </rPr>
      <t>Production Planner, Manufacturing Analyst, Industrial Engineer, Supply Chain Analyst, or Data Analyst</t>
    </r>
    <r>
      <rPr>
        <sz val="11"/>
        <color theme="1"/>
        <rFont val="Calibri"/>
        <family val="2"/>
        <scheme val="minor"/>
      </rPr>
      <t xml:space="preserve"> within the footwear sector.</t>
    </r>
  </si>
  <si>
    <t>This portfolio is designed to demonstrate:</t>
  </si>
  <si>
    <r>
      <t xml:space="preserve">Ability to perform </t>
    </r>
    <r>
      <rPr>
        <b/>
        <sz val="11"/>
        <color theme="1"/>
        <rFont val="Calibri"/>
        <family val="2"/>
        <scheme val="minor"/>
      </rPr>
      <t>manufacturing data analysis</t>
    </r>
    <r>
      <rPr>
        <sz val="11"/>
        <color theme="1"/>
        <rFont val="Calibri"/>
        <family val="2"/>
        <scheme val="minor"/>
      </rPr>
      <t xml:space="preserve"> using Excel.</t>
    </r>
  </si>
  <si>
    <r>
      <t xml:space="preserve">Comparison of </t>
    </r>
    <r>
      <rPr>
        <b/>
        <sz val="11"/>
        <color theme="1"/>
        <rFont val="Calibri"/>
        <family val="2"/>
        <scheme val="minor"/>
      </rPr>
      <t>SAP Qty (theoretical consumption)</t>
    </r>
    <r>
      <rPr>
        <sz val="11"/>
        <color theme="1"/>
        <rFont val="Calibri"/>
        <family val="2"/>
        <scheme val="minor"/>
      </rPr>
      <t xml:space="preserve"> vs </t>
    </r>
    <r>
      <rPr>
        <b/>
        <sz val="11"/>
        <color theme="1"/>
        <rFont val="Calibri"/>
        <family val="2"/>
        <scheme val="minor"/>
      </rPr>
      <t>MES Qty (actual usage)</t>
    </r>
    <r>
      <rPr>
        <sz val="11"/>
        <color theme="1"/>
        <rFont val="Calibri"/>
        <family val="2"/>
        <scheme val="minor"/>
      </rPr>
      <t>.</t>
    </r>
  </si>
  <si>
    <r>
      <t xml:space="preserve">Monitoring of production behavior across </t>
    </r>
    <r>
      <rPr>
        <b/>
        <sz val="11"/>
        <color theme="1"/>
        <rFont val="Calibri"/>
        <family val="2"/>
        <scheme val="minor"/>
      </rPr>
      <t>lines, shifts, and processes</t>
    </r>
    <r>
      <rPr>
        <sz val="11"/>
        <color theme="1"/>
        <rFont val="Calibri"/>
        <family val="2"/>
        <scheme val="minor"/>
      </rPr>
      <t>.</t>
    </r>
  </si>
  <si>
    <t>Calculation of key operational metrics:</t>
  </si>
  <si>
    <t>total scans</t>
  </si>
  <si>
    <t>overs</t>
  </si>
  <si>
    <t>shorts</t>
  </si>
  <si>
    <t>matches</t>
  </si>
  <si>
    <t>total variance (465 units)</t>
  </si>
  <si>
    <r>
      <t xml:space="preserve">Use of </t>
    </r>
    <r>
      <rPr>
        <b/>
        <sz val="11"/>
        <color theme="1"/>
        <rFont val="Calibri"/>
        <family val="2"/>
        <scheme val="minor"/>
      </rPr>
      <t>Excel formulas</t>
    </r>
    <r>
      <rPr>
        <sz val="11"/>
        <color theme="1"/>
        <rFont val="Calibri"/>
        <family val="2"/>
        <scheme val="minor"/>
      </rPr>
      <t xml:space="preserve"> (VLOOKUP, HLOOKUP, SUMIFS, COUNTIFS, Moving Average).</t>
    </r>
  </si>
  <si>
    <r>
      <t xml:space="preserve">Construction of a </t>
    </r>
    <r>
      <rPr>
        <b/>
        <sz val="11"/>
        <color theme="1"/>
        <rFont val="Calibri"/>
        <family val="2"/>
        <scheme val="minor"/>
      </rPr>
      <t>forecast sheet</t>
    </r>
    <r>
      <rPr>
        <sz val="11"/>
        <color theme="1"/>
        <rFont val="Calibri"/>
        <family val="2"/>
        <scheme val="minor"/>
      </rPr>
      <t xml:space="preserve"> for monitoring target vs actual performance.</t>
    </r>
  </si>
  <si>
    <t>Understanding of manufacturing workflow in footwear production.</t>
  </si>
  <si>
    <t>Footwear Production Flow</t>
  </si>
  <si>
    <r>
      <t>1. Cutting</t>
    </r>
    <r>
      <rPr>
        <sz val="11"/>
        <color theme="1"/>
        <rFont val="Calibri"/>
        <family val="2"/>
        <scheme val="minor"/>
      </rPr>
      <t xml:space="preserve"> – Raw materials (upper, lining, outsole sheet) are cut into required parts.</t>
    </r>
  </si>
  <si>
    <r>
      <t>2. Sewing</t>
    </r>
    <r>
      <rPr>
        <sz val="11"/>
        <color theme="1"/>
        <rFont val="Calibri"/>
        <family val="2"/>
        <scheme val="minor"/>
      </rPr>
      <t xml:space="preserve"> – Upper components are stitched, reinforced, and assembled.</t>
    </r>
  </si>
  <si>
    <r>
      <t>3. StockFitting</t>
    </r>
    <r>
      <rPr>
        <sz val="11"/>
        <color theme="1"/>
        <rFont val="Calibri"/>
        <family val="2"/>
        <scheme val="minor"/>
      </rPr>
      <t xml:space="preserve"> – Components are prepared and combined with semi-finished parts.</t>
    </r>
  </si>
  <si>
    <r>
      <t>4. Assembling</t>
    </r>
    <r>
      <rPr>
        <sz val="11"/>
        <color theme="1"/>
        <rFont val="Calibri"/>
        <family val="2"/>
        <scheme val="minor"/>
      </rPr>
      <t xml:space="preserve"> – Upper and outsole join to form the finished product.</t>
    </r>
  </si>
  <si>
    <t>System Understanding</t>
  </si>
  <si>
    <r>
      <t>ComponentCode</t>
    </r>
    <r>
      <rPr>
        <sz val="11"/>
        <color theme="1"/>
        <rFont val="Calibri"/>
        <family val="2"/>
        <scheme val="minor"/>
      </rPr>
      <t xml:space="preserve"> → Unique material identification</t>
    </r>
  </si>
  <si>
    <r>
      <t>Description</t>
    </r>
    <r>
      <rPr>
        <sz val="11"/>
        <color theme="1"/>
        <rFont val="Calibri"/>
        <family val="2"/>
        <scheme val="minor"/>
      </rPr>
      <t xml:space="preserve"> → Material name</t>
    </r>
  </si>
  <si>
    <r>
      <t>UnitWeight_kg</t>
    </r>
    <r>
      <rPr>
        <sz val="11"/>
        <color theme="1"/>
        <rFont val="Calibri"/>
        <family val="2"/>
        <scheme val="minor"/>
      </rPr>
      <t xml:space="preserve"> → Material’s reference weight (used for consumption validation)</t>
    </r>
  </si>
  <si>
    <t>Data Flow Structure</t>
  </si>
  <si>
    <t>SAP System</t>
  </si>
  <si>
    <t>→ Holds BOM, routing, and planned material usage</t>
  </si>
  <si>
    <t>MES System</t>
  </si>
  <si>
    <t>→ Captures actual barcode scans and real-time consumption</t>
  </si>
  <si>
    <t>This Analysis File</t>
  </si>
  <si>
    <t>→ Compares planned vs actual, identifies accuracy gaps, and highlights improvement opportunities</t>
  </si>
  <si>
    <r>
      <t xml:space="preserve">Portfolio ini menyajikan sistem analisis dan tracking data yang digunakan pada lingkungan </t>
    </r>
    <r>
      <rPr>
        <b/>
        <sz val="11"/>
        <color theme="1"/>
        <rFont val="Calibri"/>
        <family val="2"/>
        <scheme val="minor"/>
      </rPr>
      <t>manufaktur sepatu</t>
    </r>
    <r>
      <rPr>
        <sz val="11"/>
        <color theme="1"/>
        <rFont val="Calibri"/>
        <family val="2"/>
        <scheme val="minor"/>
      </rPr>
      <t>.</t>
    </r>
  </si>
  <si>
    <r>
      <t xml:space="preserve">Akurasi material adalah faktor penting yang mempengaruhi efisiensi produksi, kontrol biaya, dan keakuratan stok. Perbedaan antara </t>
    </r>
    <r>
      <rPr>
        <b/>
        <sz val="11"/>
        <color theme="1"/>
        <rFont val="Calibri"/>
        <family val="2"/>
        <scheme val="minor"/>
      </rPr>
      <t>SAP Qty (rencana konsumsi)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MES Qty (pemakaian aktual hasil scan)</t>
    </r>
    <r>
      <rPr>
        <sz val="11"/>
        <color theme="1"/>
        <rFont val="Calibri"/>
        <family val="2"/>
        <scheme val="minor"/>
      </rPr>
      <t xml:space="preserve"> dapat muncul karena scrap, kesalahan scanning, missing scan, rework, ataupun deviasi proses.</t>
    </r>
  </si>
  <si>
    <t>File ini menunjukkan alur kerja lengkap:</t>
  </si>
  <si>
    <t>pengambilan data produksi</t>
  </si>
  <si>
    <t>referensi ke master material</t>
  </si>
  <si>
    <t>pengecekan akurasi konsumsi</t>
  </si>
  <si>
    <t>analisis varians</t>
  </si>
  <si>
    <t>pembuatan ringkasan &amp; grafik</t>
  </si>
  <si>
    <t>forecasting target vs aktual</t>
  </si>
  <si>
    <t>penggunaan formula Excel tingkat lanjut</t>
  </si>
  <si>
    <r>
      <t xml:space="preserve">Semuanya relevan dengan pekerjaan </t>
    </r>
    <r>
      <rPr>
        <b/>
        <sz val="11"/>
        <color theme="1"/>
        <rFont val="Calibri"/>
        <family val="2"/>
        <scheme val="minor"/>
      </rPr>
      <t>Production Planner, Industrial Engineer, Supply Chain Analyst, dan Data Analyst</t>
    </r>
    <r>
      <rPr>
        <sz val="11"/>
        <color theme="1"/>
        <rFont val="Calibri"/>
        <family val="2"/>
        <scheme val="minor"/>
      </rPr>
      <t xml:space="preserve"> di industri sepatu.</t>
    </r>
  </si>
  <si>
    <t>🎯 Tujuan File Ini</t>
  </si>
  <si>
    <t>Menunjukkan kemampuan analisis data produksi menggunakan Excel.</t>
  </si>
  <si>
    <r>
      <t xml:space="preserve">Membandingkan </t>
    </r>
    <r>
      <rPr>
        <b/>
        <sz val="11"/>
        <color theme="1"/>
        <rFont val="Calibri"/>
        <family val="2"/>
        <scheme val="minor"/>
      </rPr>
      <t>SAP Qty (teoritis)</t>
    </r>
    <r>
      <rPr>
        <sz val="11"/>
        <color theme="1"/>
        <rFont val="Calibri"/>
        <family val="2"/>
        <scheme val="minor"/>
      </rPr>
      <t xml:space="preserve"> dengan </t>
    </r>
    <r>
      <rPr>
        <b/>
        <sz val="11"/>
        <color theme="1"/>
        <rFont val="Calibri"/>
        <family val="2"/>
        <scheme val="minor"/>
      </rPr>
      <t>MES Qty (aktual)</t>
    </r>
    <r>
      <rPr>
        <sz val="11"/>
        <color theme="1"/>
        <rFont val="Calibri"/>
        <family val="2"/>
        <scheme val="minor"/>
      </rPr>
      <t>.</t>
    </r>
  </si>
  <si>
    <r>
      <t xml:space="preserve">Memantau perilaku produksi berdasarkan </t>
    </r>
    <r>
      <rPr>
        <b/>
        <sz val="11"/>
        <color theme="1"/>
        <rFont val="Calibri"/>
        <family val="2"/>
        <scheme val="minor"/>
      </rPr>
      <t>line, shift, dan proses</t>
    </r>
    <r>
      <rPr>
        <sz val="11"/>
        <color theme="1"/>
        <rFont val="Calibri"/>
        <family val="2"/>
        <scheme val="minor"/>
      </rPr>
      <t>.</t>
    </r>
  </si>
  <si>
    <t>Menghasilkan KPI penting: total scan, short, over, match, dan total varians.</t>
  </si>
  <si>
    <t>Menggunakan formula Excel seperti VLOOKUP, SUMIFS, COUNTIFS, Moving Average.</t>
  </si>
  <si>
    <r>
      <t xml:space="preserve">Membuat sheet </t>
    </r>
    <r>
      <rPr>
        <b/>
        <sz val="11"/>
        <color theme="1"/>
        <rFont val="Calibri"/>
        <family val="2"/>
        <scheme val="minor"/>
      </rPr>
      <t>Forecast Target &amp; Actual</t>
    </r>
    <r>
      <rPr>
        <sz val="11"/>
        <color theme="1"/>
        <rFont val="Calibri"/>
        <family val="2"/>
        <scheme val="minor"/>
      </rPr>
      <t xml:space="preserve"> sebagai monitoring harian.</t>
    </r>
  </si>
  <si>
    <t>Memahami alur produksi di pabrik sepatu.</t>
  </si>
  <si>
    <t>🏭 Pemahaman Proses Industri (Basic + Intermediate)</t>
  </si>
  <si>
    <t>Alur Produksi Sepatu</t>
  </si>
  <si>
    <t>1. Cutting – Material dipotong sesuai pola</t>
  </si>
  <si>
    <t>2. Sewing – Komponen upper dijahit dan dirakit</t>
  </si>
  <si>
    <t>3. StockFitting – Komponen dipasangkan dengan semi-finished goods</t>
  </si>
  <si>
    <t>4. Assembling – Upper dan outsole digabung menjadi produk jadi</t>
  </si>
  <si>
    <t>Sistem &amp; Komponen Data</t>
  </si>
  <si>
    <t>ComponentCode → kode unik material</t>
  </si>
  <si>
    <t>Description → nama material</t>
  </si>
  <si>
    <t>UnitWeight_kg → acuan validasi pemakaian</t>
  </si>
  <si>
    <t>Alur Data</t>
  </si>
  <si>
    <t>SAP → menyimpan BOM &amp; rencana pemakaian</t>
  </si>
  <si>
    <t>MES → menangkap scan konsumsi aktual</t>
  </si>
  <si>
    <t>File Analisis → membandingkan rencana vs aktual</t>
  </si>
  <si>
    <t>📊 Isi File Ini</t>
  </si>
  <si>
    <t>Berisi data harian yang mencakup:</t>
  </si>
  <si>
    <t>Tanggal, Shift, Line, Proses</t>
  </si>
  <si>
    <t>ComponentCode &amp; Deskripsi Material</t>
  </si>
  <si>
    <t>SAP Qty</t>
  </si>
  <si>
    <t>MES Qty</t>
  </si>
  <si>
    <t>Difference (selisih)</t>
  </si>
  <si>
    <t>Status (Over/Short/Match)</t>
  </si>
  <si>
    <t>Berisi tabel referensi material:</t>
  </si>
  <si>
    <t>3. Pivot Table</t>
  </si>
  <si>
    <t>Berisi analisis:</t>
  </si>
  <si>
    <t>Performa tiap line</t>
  </si>
  <si>
    <t>Varians per proses</t>
  </si>
  <si>
    <t>Jumlah overs, shorts, matches</t>
  </si>
  <si>
    <t>Total varians (465 unit)</t>
  </si>
  <si>
    <t>Pola scanning operator</t>
  </si>
  <si>
    <t>4. Forecast Target &amp; Actual</t>
  </si>
  <si>
    <t>Berisi:</t>
  </si>
  <si>
    <t>Target harian (VLOOKUP)</t>
  </si>
  <si>
    <t>Aktual MES Qty</t>
  </si>
  <si>
    <t>Varians</t>
  </si>
  <si>
    <t>Forecast Moving Average 3 Hari</t>
  </si>
  <si>
    <t>Contoh rumus:</t>
  </si>
  <si>
    <t>5. Summary_Calculations</t>
  </si>
  <si>
    <t>Berisi perhitungan otomatis:</t>
  </si>
  <si>
    <t>Total scan</t>
  </si>
  <si>
    <t>Overs, shorts, matches</t>
  </si>
  <si>
    <t>Total SAP Qty &amp; MES Qty</t>
  </si>
  <si>
    <t>Menggunakan COUNTIF, SUMIFS, dan validasi silang.</t>
  </si>
  <si>
    <t>6. Balance_Check</t>
  </si>
  <si>
    <t>Menggunakan SUMIFS untuk memastikan jumlah total sesuai dan tidak ada ketidaksesuaian perhitungan.</t>
  </si>
  <si>
    <t>🔍 Temuan &amp; Insight</t>
  </si>
  <si>
    <r>
      <t xml:space="preserve">Total varians </t>
    </r>
    <r>
      <rPr>
        <b/>
        <sz val="11"/>
        <color theme="1"/>
        <rFont val="Calibri"/>
        <family val="2"/>
        <scheme val="minor"/>
      </rPr>
      <t>465 unit</t>
    </r>
    <r>
      <rPr>
        <sz val="11"/>
        <color theme="1"/>
        <rFont val="Calibri"/>
        <family val="2"/>
        <scheme val="minor"/>
      </rPr>
      <t xml:space="preserve"> menunjukkan perbedaan antara konsumsi teoritis dan aktual.</t>
    </r>
  </si>
  <si>
    <t>Jumlah over (44) lebih besar daripada short (31).</t>
  </si>
  <si>
    <r>
      <t xml:space="preserve">Beberapa proses menunjukkan varians negatif seperti </t>
    </r>
    <r>
      <rPr>
        <b/>
        <sz val="11"/>
        <color theme="1"/>
        <rFont val="Calibri"/>
        <family val="2"/>
        <scheme val="minor"/>
      </rPr>
      <t>Line-4 Sewing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Line-5 StockFitting</t>
    </r>
    <r>
      <rPr>
        <sz val="11"/>
        <color theme="1"/>
        <rFont val="Calibri"/>
        <family val="2"/>
        <scheme val="minor"/>
      </rPr>
      <t xml:space="preserve"> — kemungkinan karena missing scan.</t>
    </r>
  </si>
  <si>
    <t>Cutting dan Sewing relatif stabil dan konsisten.</t>
  </si>
  <si>
    <t>Pola varians menunjukkan area prioritas perbaikan.</t>
  </si>
  <si>
    <t>🌟 Peluang Perbaikan</t>
  </si>
  <si>
    <t>Validasi barcode untuk mengurangi over-scanning.</t>
  </si>
  <si>
    <t>Alarm varians real-time pada MES.</t>
  </si>
  <si>
    <t>Training operator agar disiplin scanning.</t>
  </si>
  <si>
    <t>Peningkatan pengendalian material antar shift.</t>
  </si>
  <si>
    <t>Forecasting bisa ditingkatkan dengan metode statistik yang menghitung error.</t>
  </si>
  <si>
    <t>Dashboard dapat ditingkatkan ke Power BI untuk monitoring real-time.</t>
  </si>
  <si>
    <t>📌 Siap untuk Dimasukkan ke Excel</t>
  </si>
  <si>
    <t>Jika kamu mau, setelah tool normal jalan lagi, aku bisa:</t>
  </si>
  <si>
    <t>✔ otomatis memasukkan teks ini ke dua sheet baru</t>
  </si>
  <si>
    <t>✔ merapikan layout</t>
  </si>
  <si>
    <t>✔ menambah branding portfolio</t>
  </si>
  <si>
    <t>Jika ingin revisi gaya bahasa, penambahan grafik, atau cover professional — tinggal bilang saja.</t>
  </si>
  <si>
    <t>📘 Latar Belakang</t>
  </si>
  <si>
    <t>📊 Contents of This File</t>
  </si>
  <si>
    <t>1. RawData Sheet</t>
  </si>
  <si>
    <t>Date, Shift, Line, Process</t>
  </si>
  <si>
    <t>ComponentCode &amp; Component Description</t>
  </si>
  <si>
    <t>SAP Qty (planned)</t>
  </si>
  <si>
    <t>MES Qty (actual scanned)</t>
  </si>
  <si>
    <t>Difference (variance)</t>
  </si>
  <si>
    <t>This is the primary operational dataset derived from factory MES scanning.</t>
  </si>
  <si>
    <t>2. ComponentsMaster Sheet</t>
  </si>
  <si>
    <t>Reference master table containing:</t>
  </si>
  <si>
    <t>Used for data validation and material identification.</t>
  </si>
  <si>
    <t>3. Pivot Table Sheet</t>
  </si>
  <si>
    <t>Contains multiple pivot tables analyzing:</t>
  </si>
  <si>
    <t>Process-level variance</t>
  </si>
  <si>
    <t>Overs vs Shorts</t>
  </si>
  <si>
    <t>Total variance (465 units)</t>
  </si>
  <si>
    <t>Scanning behavior patterns</t>
  </si>
  <si>
    <t>Pivot filters include Line, Process, Component, and Status.</t>
  </si>
  <si>
    <t>4. Forecast Target &amp; Actual Sheet</t>
  </si>
  <si>
    <t>Includes:</t>
  </si>
  <si>
    <t>Daily target values (via VLOOKUP)</t>
  </si>
  <si>
    <t>Actual MES_Qty aggregated per day</t>
  </si>
  <si>
    <t>Variance &amp; performance indicators</t>
  </si>
  <si>
    <t>3-Day Moving Average Forecast</t>
  </si>
  <si>
    <t>Formula sample:</t>
  </si>
  <si>
    <t>5. Summary_Calculations Sheet</t>
  </si>
  <si>
    <t>Contains automated metrics using COUNTIF, SUMIFS, and reference checks, such as:</t>
  </si>
  <si>
    <t>Total scans</t>
  </si>
  <si>
    <t>6. Balance_Check Sheet</t>
  </si>
  <si>
    <t>Uses SUMIFS to confirm data consistency and ensure total calculations match pivot results.</t>
  </si>
  <si>
    <r>
      <t xml:space="preserve">Total variance of </t>
    </r>
    <r>
      <rPr>
        <b/>
        <sz val="11"/>
        <color theme="1"/>
        <rFont val="Calibri"/>
        <family val="2"/>
        <scheme val="minor"/>
      </rPr>
      <t>465 units</t>
    </r>
    <r>
      <rPr>
        <sz val="11"/>
        <color theme="1"/>
        <rFont val="Calibri"/>
        <family val="2"/>
        <scheme val="minor"/>
      </rPr>
      <t xml:space="preserve"> indicates deviation between theoretical and actual usage.</t>
    </r>
  </si>
  <si>
    <t>Overs (44) occur more frequently than shorts (31), suggesting scanning redundancy in some areas.</t>
  </si>
  <si>
    <r>
      <t xml:space="preserve">Negative variances appear in processes such as </t>
    </r>
    <r>
      <rPr>
        <b/>
        <sz val="11"/>
        <color theme="1"/>
        <rFont val="Calibri"/>
        <family val="2"/>
        <scheme val="minor"/>
      </rPr>
      <t>Line-4 Sewing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Line-5 StockFitting</t>
    </r>
    <r>
      <rPr>
        <sz val="11"/>
        <color theme="1"/>
        <rFont val="Calibri"/>
        <family val="2"/>
        <scheme val="minor"/>
      </rPr>
      <t>, indicating under-scanning or missing records.</t>
    </r>
  </si>
  <si>
    <t>Cutting and Sewing maintain closer MES–SAP alignment than other processes.</t>
  </si>
  <si>
    <t>Variance patterns can be used to prioritize process improvements and operator training.</t>
  </si>
  <si>
    <t>🌟 Improvement Opportunities</t>
  </si>
  <si>
    <t>Implement barcode validation or double-scan prevention to reduce over-scanning.</t>
  </si>
  <si>
    <t>Add real-time MES variance alerting.</t>
  </si>
  <si>
    <t>Improve operator training on scanning discipline.</t>
  </si>
  <si>
    <t>Enhance material handling accuracy during shift transitions.</t>
  </si>
  <si>
    <r>
      <t xml:space="preserve">Expand forecasting into </t>
    </r>
    <r>
      <rPr>
        <b/>
        <sz val="11"/>
        <color theme="1"/>
        <rFont val="Calibri"/>
        <family val="2"/>
        <scheme val="minor"/>
      </rPr>
      <t>error-measured predictive modeling</t>
    </r>
    <r>
      <rPr>
        <sz val="11"/>
        <color theme="1"/>
        <rFont val="Calibri"/>
        <family val="2"/>
        <scheme val="minor"/>
      </rPr>
      <t xml:space="preserve"> (MAPE-based).</t>
    </r>
  </si>
  <si>
    <t>Build a Power BI version for interactive real-time visibility.</t>
  </si>
  <si>
    <t>=AVERAGE(B2:B4)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</si>
</sst>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2" borderId="2" xfId="0" applyNumberFormat="1" applyFill="1" applyBorder="1"/>
    <xf numFmtId="164" fontId="0" fillId="2" borderId="3" xfId="0" applyNumberFormat="1" applyFill="1" applyBorder="1"/>
    <xf numFmtId="0" fontId="1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2"/>
    </xf>
    <xf numFmtId="0" fontId="6" fillId="0" borderId="0" xfId="1"/>
    <xf numFmtId="0" fontId="0" fillId="0" borderId="0" xfId="0" applyAlignment="1">
      <alignment horizontal="left" vertical="center" indent="2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'Forecast Target&amp;Actual'!$B$2:$B$14</c:f>
              <c:numCache>
                <c:formatCode>General</c:formatCode>
                <c:ptCount val="13"/>
                <c:pt idx="0">
                  <c:v>367</c:v>
                </c:pt>
                <c:pt idx="1">
                  <c:v>258</c:v>
                </c:pt>
                <c:pt idx="2">
                  <c:v>133</c:v>
                </c:pt>
                <c:pt idx="3">
                  <c:v>171</c:v>
                </c:pt>
                <c:pt idx="4">
                  <c:v>129</c:v>
                </c:pt>
                <c:pt idx="5">
                  <c:v>166</c:v>
                </c:pt>
                <c:pt idx="6">
                  <c:v>220</c:v>
                </c:pt>
                <c:pt idx="7">
                  <c:v>489</c:v>
                </c:pt>
                <c:pt idx="8">
                  <c:v>62</c:v>
                </c:pt>
                <c:pt idx="9">
                  <c:v>427</c:v>
                </c:pt>
                <c:pt idx="10">
                  <c:v>497</c:v>
                </c:pt>
                <c:pt idx="11">
                  <c:v>433</c:v>
                </c:pt>
                <c:pt idx="12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EA-4038-83B7-326EFBB0B352}"/>
            </c:ext>
          </c:extLst>
        </c:ser>
        <c:ser>
          <c:idx val="1"/>
          <c:order val="1"/>
          <c:tx>
            <c:v>Forecast</c:v>
          </c:tx>
          <c:val>
            <c:numRef>
              <c:f>'Forecast Target&amp;Actual'!$D$2:$D$14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252.66666666666666</c:v>
                </c:pt>
                <c:pt idx="3">
                  <c:v>187.33333333333334</c:v>
                </c:pt>
                <c:pt idx="4">
                  <c:v>144.33333333333334</c:v>
                </c:pt>
                <c:pt idx="5">
                  <c:v>155.33333333333334</c:v>
                </c:pt>
                <c:pt idx="6">
                  <c:v>171.66666666666666</c:v>
                </c:pt>
                <c:pt idx="7">
                  <c:v>291.66666666666669</c:v>
                </c:pt>
                <c:pt idx="8">
                  <c:v>257</c:v>
                </c:pt>
                <c:pt idx="9">
                  <c:v>326</c:v>
                </c:pt>
                <c:pt idx="10">
                  <c:v>328.66666666666669</c:v>
                </c:pt>
                <c:pt idx="11">
                  <c:v>452.33333333333331</c:v>
                </c:pt>
                <c:pt idx="12">
                  <c:v>360.66666666666669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EA-4038-83B7-326EFBB0B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90864"/>
        <c:axId val="1225791344"/>
      </c:lineChart>
      <c:catAx>
        <c:axId val="1225790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225791344"/>
        <c:crosses val="autoZero"/>
        <c:auto val="1"/>
        <c:lblAlgn val="ctr"/>
        <c:lblOffset val="100"/>
        <c:noMultiLvlLbl val="0"/>
      </c:catAx>
      <c:valAx>
        <c:axId val="1225791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790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'Forecast Target&amp;Actual'!$C$2:$C$15</c:f>
              <c:numCache>
                <c:formatCode>General</c:formatCode>
                <c:ptCount val="14"/>
                <c:pt idx="0">
                  <c:v>369</c:v>
                </c:pt>
                <c:pt idx="1">
                  <c:v>251</c:v>
                </c:pt>
                <c:pt idx="2">
                  <c:v>145</c:v>
                </c:pt>
                <c:pt idx="3">
                  <c:v>169</c:v>
                </c:pt>
                <c:pt idx="4">
                  <c:v>125</c:v>
                </c:pt>
                <c:pt idx="5">
                  <c:v>165</c:v>
                </c:pt>
                <c:pt idx="6">
                  <c:v>221</c:v>
                </c:pt>
                <c:pt idx="7">
                  <c:v>488</c:v>
                </c:pt>
                <c:pt idx="8">
                  <c:v>73</c:v>
                </c:pt>
                <c:pt idx="9">
                  <c:v>423</c:v>
                </c:pt>
                <c:pt idx="10">
                  <c:v>503</c:v>
                </c:pt>
                <c:pt idx="11">
                  <c:v>441</c:v>
                </c:pt>
                <c:pt idx="12">
                  <c:v>148</c:v>
                </c:pt>
                <c:pt idx="13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D-4BC6-8802-B65D53EAB9CE}"/>
            </c:ext>
          </c:extLst>
        </c:ser>
        <c:ser>
          <c:idx val="1"/>
          <c:order val="1"/>
          <c:tx>
            <c:v>Forecast</c:v>
          </c:tx>
          <c:val>
            <c:numRef>
              <c:f>'Forecast Target&amp;Actual'!$F$2:$F$15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255</c:v>
                </c:pt>
                <c:pt idx="3">
                  <c:v>188.33333333333334</c:v>
                </c:pt>
                <c:pt idx="4">
                  <c:v>146.33333333333334</c:v>
                </c:pt>
                <c:pt idx="5">
                  <c:v>153</c:v>
                </c:pt>
                <c:pt idx="6">
                  <c:v>170.33333333333334</c:v>
                </c:pt>
                <c:pt idx="7">
                  <c:v>291.33333333333331</c:v>
                </c:pt>
                <c:pt idx="8">
                  <c:v>260.66666666666669</c:v>
                </c:pt>
                <c:pt idx="9">
                  <c:v>328</c:v>
                </c:pt>
                <c:pt idx="10">
                  <c:v>333</c:v>
                </c:pt>
                <c:pt idx="11">
                  <c:v>455.66666666666669</c:v>
                </c:pt>
                <c:pt idx="12">
                  <c:v>364</c:v>
                </c:pt>
                <c:pt idx="13">
                  <c:v>353.33333333333331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AD-4BC6-8802-B65D53EA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812464"/>
        <c:axId val="1225812944"/>
      </c:lineChart>
      <c:catAx>
        <c:axId val="122581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225812944"/>
        <c:crosses val="autoZero"/>
        <c:auto val="1"/>
        <c:lblAlgn val="ctr"/>
        <c:lblOffset val="100"/>
        <c:noMultiLvlLbl val="0"/>
      </c:catAx>
      <c:valAx>
        <c:axId val="1225812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812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692820</xdr:colOff>
      <xdr:row>1</xdr:row>
      <xdr:rowOff>178085</xdr:rowOff>
    </xdr:from>
    <xdr:to>
      <xdr:col>16</xdr:col>
      <xdr:colOff>42124</xdr:colOff>
      <xdr:row>11</xdr:row>
      <xdr:rowOff>178086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35777-4BCC-9020-3B98-99BB65181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701382</xdr:colOff>
      <xdr:row>13</xdr:row>
      <xdr:rowOff>118153</xdr:rowOff>
    </xdr:from>
    <xdr:to>
      <xdr:col>16</xdr:col>
      <xdr:colOff>50686</xdr:colOff>
      <xdr:row>23</xdr:row>
      <xdr:rowOff>118154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C418B7-2A83-3641-933B-00C2C657F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2187500003" createdVersion="8" refreshedVersion="8" minRefreshableVersion="3" recordCount="80" xr:uid="{A5BAE49B-59BF-4512-BC57-D6BC12013AFA}">
  <cacheSource type="worksheet">
    <worksheetSource name="RawDataTable"/>
  </cacheSource>
  <cacheFields count="13">
    <cacheField name="Date" numFmtId="164">
      <sharedItems containsSemiMixedTypes="0" containsNonDate="0" containsDate="1" containsString="0" minDate="2025-11-01T00:00:00" maxDate="2025-11-15T00:00:00" count="14">
        <d v="2025-11-11T00:00:00"/>
        <d v="2025-11-02T00:00:00"/>
        <d v="2025-11-01T00:00:00"/>
        <d v="2025-11-12T00:00:00"/>
        <d v="2025-11-05T00:00:00"/>
        <d v="2025-11-04T00:00:00"/>
        <d v="2025-11-03T00:00:00"/>
        <d v="2025-11-09T00:00:00"/>
        <d v="2025-11-10T00:00:00"/>
        <d v="2025-11-07T00:00:00"/>
        <d v="2025-11-08T00:00:00"/>
        <d v="2025-11-13T00:00:00"/>
        <d v="2025-11-14T00:00:00"/>
        <d v="2025-11-06T00:00:00"/>
      </sharedItems>
    </cacheField>
    <cacheField name="Shift" numFmtId="0">
      <sharedItems/>
    </cacheField>
    <cacheField name="Line" numFmtId="0">
      <sharedItems count="5">
        <s v="Line-4"/>
        <s v="Line-5"/>
        <s v="Line-3"/>
        <s v="Line-1"/>
        <s v="Line-2"/>
      </sharedItems>
    </cacheField>
    <cacheField name="Process" numFmtId="0">
      <sharedItems count="4">
        <s v="Cutting"/>
        <s v="Sewing"/>
        <s v="StockFitting"/>
        <s v="Assembling"/>
      </sharedItems>
    </cacheField>
    <cacheField name="MES_Code" numFmtId="0">
      <sharedItems count="4">
        <s v="HC"/>
        <s v="HU"/>
        <s v="HS"/>
        <s v="FG"/>
      </sharedItems>
    </cacheField>
    <cacheField name="ComponentCode" numFmtId="0">
      <sharedItems/>
    </cacheField>
    <cacheField name="Component_Desc" numFmtId="0">
      <sharedItems/>
    </cacheField>
    <cacheField name="SAP_Qty" numFmtId="0">
      <sharedItems containsSemiMixedTypes="0" containsString="0" containsNumber="1" containsInteger="1" minValue="62" maxValue="499"/>
    </cacheField>
    <cacheField name="MES_Qty" numFmtId="0">
      <sharedItems containsSemiMixedTypes="0" containsString="0" containsNumber="1" containsInteger="1" minValue="69" maxValue="504"/>
    </cacheField>
    <cacheField name="Difference" numFmtId="0">
      <sharedItems containsSemiMixedTypes="0" containsString="0" containsNumber="1" containsInteger="1" minValue="-10" maxValue="12"/>
    </cacheField>
    <cacheField name="Status" numFmtId="0">
      <sharedItems count="3">
        <s v="Over"/>
        <s v="Short"/>
        <s v="Match"/>
      </sharedItems>
    </cacheField>
    <cacheField name="ScanTime" numFmtId="0">
      <sharedItems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B"/>
    <x v="0"/>
    <x v="0"/>
    <x v="0"/>
    <s v="CMP0004"/>
    <s v="Outsole Type 4"/>
    <n v="497"/>
    <n v="503"/>
    <n v="6"/>
    <x v="0"/>
    <s v="2025-11-11 08:39:00"/>
    <s v="Check"/>
  </r>
  <r>
    <x v="1"/>
    <s v="A"/>
    <x v="0"/>
    <x v="1"/>
    <x v="1"/>
    <s v="CMP0027"/>
    <s v="Upper Material 27"/>
    <n v="258"/>
    <n v="251"/>
    <n v="-7"/>
    <x v="1"/>
    <s v="2025-11-02 14:01:00"/>
    <s v="Check"/>
  </r>
  <r>
    <x v="2"/>
    <s v="A"/>
    <x v="1"/>
    <x v="0"/>
    <x v="0"/>
    <s v="CMP0008"/>
    <s v="Accessory 8"/>
    <n v="367"/>
    <n v="369"/>
    <n v="2"/>
    <x v="0"/>
    <s v="2025-11-01 12:37:00"/>
    <s v="OK"/>
  </r>
  <r>
    <x v="3"/>
    <s v="A"/>
    <x v="0"/>
    <x v="0"/>
    <x v="0"/>
    <s v="CMP0018"/>
    <s v="Upper Material 18"/>
    <n v="433"/>
    <n v="441"/>
    <n v="8"/>
    <x v="0"/>
    <s v="2025-11-12 15:42:00"/>
    <s v="Check"/>
  </r>
  <r>
    <x v="4"/>
    <s v="B"/>
    <x v="1"/>
    <x v="2"/>
    <x v="2"/>
    <s v="CMP0019"/>
    <s v="Outsole Type 19"/>
    <n v="129"/>
    <n v="125"/>
    <n v="-4"/>
    <x v="1"/>
    <s v="2025-11-05 06:05:00"/>
    <s v="OK"/>
  </r>
  <r>
    <x v="5"/>
    <s v="B"/>
    <x v="2"/>
    <x v="0"/>
    <x v="0"/>
    <s v="CMP0013"/>
    <s v="Outsole Type 13"/>
    <n v="171"/>
    <n v="169"/>
    <n v="-2"/>
    <x v="1"/>
    <s v="2025-11-04 16:27:00"/>
    <s v="OK"/>
  </r>
  <r>
    <x v="5"/>
    <s v="B"/>
    <x v="1"/>
    <x v="1"/>
    <x v="1"/>
    <s v="CMP0018"/>
    <s v="Upper Material 18"/>
    <n v="492"/>
    <n v="483"/>
    <n v="-9"/>
    <x v="1"/>
    <s v="2025-11-04 08:55:00"/>
    <s v="Check"/>
  </r>
  <r>
    <x v="6"/>
    <s v="C"/>
    <x v="3"/>
    <x v="2"/>
    <x v="2"/>
    <s v="CMP0016"/>
    <s v="Outsole Type 16"/>
    <n v="133"/>
    <n v="145"/>
    <n v="12"/>
    <x v="0"/>
    <s v="2025-11-03 13:11:00"/>
    <s v="Check"/>
  </r>
  <r>
    <x v="3"/>
    <s v="B"/>
    <x v="3"/>
    <x v="3"/>
    <x v="3"/>
    <s v="CMP0029"/>
    <s v="Accessory 29"/>
    <n v="459"/>
    <n v="462"/>
    <n v="3"/>
    <x v="0"/>
    <s v="2025-11-12 06:16:00"/>
    <s v="OK"/>
  </r>
  <r>
    <x v="1"/>
    <s v="A"/>
    <x v="1"/>
    <x v="1"/>
    <x v="1"/>
    <s v="CMP0007"/>
    <s v="Outsole Type 7"/>
    <n v="465"/>
    <n v="455"/>
    <n v="-10"/>
    <x v="1"/>
    <s v="2025-11-02 12:20:00"/>
    <s v="Check"/>
  </r>
  <r>
    <x v="0"/>
    <s v="B"/>
    <x v="2"/>
    <x v="1"/>
    <x v="1"/>
    <s v="CMP0022"/>
    <s v="Outsole Type 22"/>
    <n v="140"/>
    <n v="146"/>
    <n v="6"/>
    <x v="0"/>
    <s v="2025-11-11 09:29:00"/>
    <s v="Check"/>
  </r>
  <r>
    <x v="3"/>
    <s v="B"/>
    <x v="2"/>
    <x v="3"/>
    <x v="3"/>
    <s v="CMP0008"/>
    <s v="Accessory 8"/>
    <n v="261"/>
    <n v="268"/>
    <n v="7"/>
    <x v="0"/>
    <s v="2025-11-12 11:21:00"/>
    <s v="Check"/>
  </r>
  <r>
    <x v="7"/>
    <s v="A"/>
    <x v="3"/>
    <x v="1"/>
    <x v="1"/>
    <s v="CMP0012"/>
    <s v="Upper Material 12"/>
    <n v="62"/>
    <n v="73"/>
    <n v="11"/>
    <x v="0"/>
    <s v="2025-11-09 12:17:00"/>
    <s v="Check"/>
  </r>
  <r>
    <x v="1"/>
    <s v="C"/>
    <x v="2"/>
    <x v="3"/>
    <x v="3"/>
    <s v="CMP0021"/>
    <s v="Upper Material 21"/>
    <n v="141"/>
    <n v="152"/>
    <n v="11"/>
    <x v="0"/>
    <s v="2025-11-02 12:16:00"/>
    <s v="Check"/>
  </r>
  <r>
    <x v="8"/>
    <s v="B"/>
    <x v="0"/>
    <x v="3"/>
    <x v="3"/>
    <s v="CMP0009"/>
    <s v="Upper Material 9"/>
    <n v="427"/>
    <n v="423"/>
    <n v="-4"/>
    <x v="1"/>
    <s v="2025-11-10 07:30:00"/>
    <s v="OK"/>
  </r>
  <r>
    <x v="9"/>
    <s v="C"/>
    <x v="4"/>
    <x v="1"/>
    <x v="1"/>
    <s v="CMP0010"/>
    <s v="Outsole Type 10"/>
    <n v="220"/>
    <n v="221"/>
    <n v="1"/>
    <x v="0"/>
    <s v="2025-11-07 06:47:00"/>
    <s v="OK"/>
  </r>
  <r>
    <x v="2"/>
    <s v="C"/>
    <x v="0"/>
    <x v="0"/>
    <x v="0"/>
    <s v="CMP0023"/>
    <s v="Accessory 23"/>
    <n v="450"/>
    <n v="453"/>
    <n v="3"/>
    <x v="0"/>
    <s v="2025-11-01 14:03:00"/>
    <s v="OK"/>
  </r>
  <r>
    <x v="2"/>
    <s v="C"/>
    <x v="3"/>
    <x v="0"/>
    <x v="0"/>
    <s v="CMP0003"/>
    <s v="Upper Material 3"/>
    <n v="260"/>
    <n v="252"/>
    <n v="-8"/>
    <x v="1"/>
    <s v="2025-11-01 11:14:00"/>
    <s v="Check"/>
  </r>
  <r>
    <x v="1"/>
    <s v="A"/>
    <x v="2"/>
    <x v="3"/>
    <x v="3"/>
    <s v="CMP0014"/>
    <s v="Accessory 14"/>
    <n v="460"/>
    <n v="471"/>
    <n v="11"/>
    <x v="0"/>
    <s v="2025-11-02 16:04:00"/>
    <s v="Check"/>
  </r>
  <r>
    <x v="5"/>
    <s v="C"/>
    <x v="1"/>
    <x v="2"/>
    <x v="2"/>
    <s v="CMP0030"/>
    <s v="Upper Material 30"/>
    <n v="392"/>
    <n v="392"/>
    <n v="0"/>
    <x v="2"/>
    <s v="2025-11-04 16:02:00"/>
    <s v="OK"/>
  </r>
  <r>
    <x v="5"/>
    <s v="C"/>
    <x v="4"/>
    <x v="3"/>
    <x v="3"/>
    <s v="CMP0030"/>
    <s v="Upper Material 30"/>
    <n v="492"/>
    <n v="501"/>
    <n v="9"/>
    <x v="0"/>
    <s v="2025-11-04 06:15:00"/>
    <s v="Check"/>
  </r>
  <r>
    <x v="7"/>
    <s v="A"/>
    <x v="1"/>
    <x v="3"/>
    <x v="3"/>
    <s v="CMP0003"/>
    <s v="Upper Material 3"/>
    <n v="426"/>
    <n v="426"/>
    <n v="0"/>
    <x v="2"/>
    <s v="2025-11-09 09:53:00"/>
    <s v="OK"/>
  </r>
  <r>
    <x v="8"/>
    <s v="C"/>
    <x v="3"/>
    <x v="3"/>
    <x v="3"/>
    <s v="CMP0007"/>
    <s v="Outsole Type 7"/>
    <n v="465"/>
    <n v="476"/>
    <n v="11"/>
    <x v="0"/>
    <s v="2025-11-10 06:39:00"/>
    <s v="Check"/>
  </r>
  <r>
    <x v="2"/>
    <s v="C"/>
    <x v="2"/>
    <x v="0"/>
    <x v="0"/>
    <s v="CMP0008"/>
    <s v="Accessory 8"/>
    <n v="177"/>
    <n v="170"/>
    <n v="-7"/>
    <x v="1"/>
    <s v="2025-11-01 08:15:00"/>
    <s v="Check"/>
  </r>
  <r>
    <x v="7"/>
    <s v="A"/>
    <x v="1"/>
    <x v="0"/>
    <x v="0"/>
    <s v="CMP0028"/>
    <s v="Outsole Type 28"/>
    <n v="186"/>
    <n v="185"/>
    <n v="-1"/>
    <x v="1"/>
    <s v="2025-11-09 08:30:00"/>
    <s v="OK"/>
  </r>
  <r>
    <x v="5"/>
    <s v="A"/>
    <x v="1"/>
    <x v="0"/>
    <x v="0"/>
    <s v="CMP0027"/>
    <s v="Upper Material 27"/>
    <n v="131"/>
    <n v="137"/>
    <n v="6"/>
    <x v="0"/>
    <s v="2025-11-04 16:07:00"/>
    <s v="Check"/>
  </r>
  <r>
    <x v="3"/>
    <s v="B"/>
    <x v="4"/>
    <x v="3"/>
    <x v="3"/>
    <s v="CMP0027"/>
    <s v="Upper Material 27"/>
    <n v="453"/>
    <n v="452"/>
    <n v="-1"/>
    <x v="1"/>
    <s v="2025-11-12 15:13:00"/>
    <s v="OK"/>
  </r>
  <r>
    <x v="0"/>
    <s v="B"/>
    <x v="4"/>
    <x v="2"/>
    <x v="2"/>
    <s v="CMP0012"/>
    <s v="Upper Material 12"/>
    <n v="409"/>
    <n v="420"/>
    <n v="11"/>
    <x v="0"/>
    <s v="2025-11-11 13:44:00"/>
    <s v="Check"/>
  </r>
  <r>
    <x v="3"/>
    <s v="B"/>
    <x v="2"/>
    <x v="0"/>
    <x v="0"/>
    <s v="CMP0005"/>
    <s v="Accessory 5"/>
    <n v="105"/>
    <n v="108"/>
    <n v="3"/>
    <x v="0"/>
    <s v="2025-11-12 10:49:00"/>
    <s v="OK"/>
  </r>
  <r>
    <x v="7"/>
    <s v="C"/>
    <x v="4"/>
    <x v="1"/>
    <x v="1"/>
    <s v="CMP0026"/>
    <s v="Accessory 26"/>
    <n v="245"/>
    <n v="245"/>
    <n v="0"/>
    <x v="2"/>
    <s v="2025-11-09 11:10:00"/>
    <s v="OK"/>
  </r>
  <r>
    <x v="9"/>
    <s v="C"/>
    <x v="1"/>
    <x v="1"/>
    <x v="1"/>
    <s v="CMP0022"/>
    <s v="Outsole Type 22"/>
    <n v="496"/>
    <n v="498"/>
    <n v="2"/>
    <x v="0"/>
    <s v="2025-11-07 15:38:00"/>
    <s v="OK"/>
  </r>
  <r>
    <x v="5"/>
    <s v="C"/>
    <x v="1"/>
    <x v="1"/>
    <x v="1"/>
    <s v="CMP0019"/>
    <s v="Outsole Type 19"/>
    <n v="69"/>
    <n v="81"/>
    <n v="12"/>
    <x v="0"/>
    <s v="2025-11-04 17:45:00"/>
    <s v="Check"/>
  </r>
  <r>
    <x v="10"/>
    <s v="A"/>
    <x v="3"/>
    <x v="3"/>
    <x v="3"/>
    <s v="CMP0030"/>
    <s v="Upper Material 30"/>
    <n v="489"/>
    <n v="488"/>
    <n v="-1"/>
    <x v="1"/>
    <s v="2025-11-08 07:49:00"/>
    <s v="OK"/>
  </r>
  <r>
    <x v="8"/>
    <s v="C"/>
    <x v="1"/>
    <x v="1"/>
    <x v="1"/>
    <s v="CMP0020"/>
    <s v="Accessory 20"/>
    <n v="290"/>
    <n v="297"/>
    <n v="7"/>
    <x v="0"/>
    <s v="2025-11-10 08:19:00"/>
    <s v="Check"/>
  </r>
  <r>
    <x v="4"/>
    <s v="B"/>
    <x v="2"/>
    <x v="3"/>
    <x v="3"/>
    <s v="CMP0001"/>
    <s v="Outsole Type 1"/>
    <n v="163"/>
    <n v="157"/>
    <n v="-6"/>
    <x v="1"/>
    <s v="2025-11-05 07:37:00"/>
    <s v="Check"/>
  </r>
  <r>
    <x v="11"/>
    <s v="A"/>
    <x v="0"/>
    <x v="1"/>
    <x v="1"/>
    <s v="CMP0025"/>
    <s v="Outsole Type 25"/>
    <n v="152"/>
    <n v="148"/>
    <n v="-4"/>
    <x v="1"/>
    <s v="2025-11-13 06:59:00"/>
    <s v="OK"/>
  </r>
  <r>
    <x v="12"/>
    <s v="A"/>
    <x v="3"/>
    <x v="2"/>
    <x v="2"/>
    <s v="CMP0009"/>
    <s v="Upper Material 9"/>
    <n v="468"/>
    <n v="471"/>
    <n v="3"/>
    <x v="0"/>
    <s v="2025-11-14 10:36:00"/>
    <s v="OK"/>
  </r>
  <r>
    <x v="2"/>
    <s v="A"/>
    <x v="3"/>
    <x v="3"/>
    <x v="3"/>
    <s v="CMP0020"/>
    <s v="Accessory 20"/>
    <n v="285"/>
    <n v="296"/>
    <n v="11"/>
    <x v="0"/>
    <s v="2025-11-01 16:58:00"/>
    <s v="Check"/>
  </r>
  <r>
    <x v="11"/>
    <s v="B"/>
    <x v="2"/>
    <x v="1"/>
    <x v="1"/>
    <s v="CMP0029"/>
    <s v="Accessory 29"/>
    <n v="229"/>
    <n v="231"/>
    <n v="2"/>
    <x v="0"/>
    <s v="2025-11-13 12:25:00"/>
    <s v="OK"/>
  </r>
  <r>
    <x v="11"/>
    <s v="B"/>
    <x v="2"/>
    <x v="0"/>
    <x v="0"/>
    <s v="CMP0005"/>
    <s v="Accessory 5"/>
    <n v="206"/>
    <n v="217"/>
    <n v="11"/>
    <x v="0"/>
    <s v="2025-11-13 17:12:00"/>
    <s v="Check"/>
  </r>
  <r>
    <x v="6"/>
    <s v="B"/>
    <x v="4"/>
    <x v="3"/>
    <x v="3"/>
    <s v="CMP0004"/>
    <s v="Outsole Type 4"/>
    <n v="470"/>
    <n v="465"/>
    <n v="-5"/>
    <x v="1"/>
    <s v="2025-11-03 07:37:00"/>
    <s v="OK"/>
  </r>
  <r>
    <x v="3"/>
    <s v="A"/>
    <x v="3"/>
    <x v="0"/>
    <x v="0"/>
    <s v="CMP0004"/>
    <s v="Outsole Type 4"/>
    <n v="457"/>
    <n v="466"/>
    <n v="9"/>
    <x v="0"/>
    <s v="2025-11-12 17:53:00"/>
    <s v="Check"/>
  </r>
  <r>
    <x v="9"/>
    <s v="A"/>
    <x v="4"/>
    <x v="0"/>
    <x v="0"/>
    <s v="CMP0017"/>
    <s v="Accessory 17"/>
    <n v="496"/>
    <n v="504"/>
    <n v="8"/>
    <x v="0"/>
    <s v="2025-11-07 16:15:00"/>
    <s v="Check"/>
  </r>
  <r>
    <x v="13"/>
    <s v="C"/>
    <x v="1"/>
    <x v="0"/>
    <x v="0"/>
    <s v="CMP0009"/>
    <s v="Upper Material 9"/>
    <n v="166"/>
    <n v="165"/>
    <n v="-1"/>
    <x v="1"/>
    <s v="2025-11-06 07:44:00"/>
    <s v="OK"/>
  </r>
  <r>
    <x v="4"/>
    <s v="C"/>
    <x v="3"/>
    <x v="0"/>
    <x v="0"/>
    <s v="CMP0019"/>
    <s v="Outsole Type 19"/>
    <n v="164"/>
    <n v="166"/>
    <n v="2"/>
    <x v="0"/>
    <s v="2025-11-05 10:54:00"/>
    <s v="OK"/>
  </r>
  <r>
    <x v="6"/>
    <s v="B"/>
    <x v="3"/>
    <x v="1"/>
    <x v="1"/>
    <s v="CMP0022"/>
    <s v="Outsole Type 22"/>
    <n v="62"/>
    <n v="69"/>
    <n v="7"/>
    <x v="0"/>
    <s v="2025-11-03 16:38:00"/>
    <s v="Check"/>
  </r>
  <r>
    <x v="5"/>
    <s v="A"/>
    <x v="0"/>
    <x v="1"/>
    <x v="1"/>
    <s v="CMP0007"/>
    <s v="Outsole Type 7"/>
    <n v="387"/>
    <n v="377"/>
    <n v="-10"/>
    <x v="1"/>
    <s v="2025-11-04 07:50:00"/>
    <s v="Check"/>
  </r>
  <r>
    <x v="11"/>
    <s v="C"/>
    <x v="3"/>
    <x v="3"/>
    <x v="3"/>
    <s v="CMP0020"/>
    <s v="Accessory 20"/>
    <n v="148"/>
    <n v="147"/>
    <n v="-1"/>
    <x v="1"/>
    <s v="2025-11-13 15:50:00"/>
    <s v="OK"/>
  </r>
  <r>
    <x v="13"/>
    <s v="B"/>
    <x v="1"/>
    <x v="3"/>
    <x v="3"/>
    <s v="CMP0008"/>
    <s v="Accessory 8"/>
    <n v="254"/>
    <n v="253"/>
    <n v="-1"/>
    <x v="1"/>
    <s v="2025-11-06 06:22:00"/>
    <s v="OK"/>
  </r>
  <r>
    <x v="1"/>
    <s v="B"/>
    <x v="4"/>
    <x v="3"/>
    <x v="3"/>
    <s v="CMP0015"/>
    <s v="Upper Material 15"/>
    <n v="218"/>
    <n v="214"/>
    <n v="-4"/>
    <x v="1"/>
    <s v="2025-11-02 14:27:00"/>
    <s v="OK"/>
  </r>
  <r>
    <x v="1"/>
    <s v="C"/>
    <x v="4"/>
    <x v="1"/>
    <x v="1"/>
    <s v="CMP0028"/>
    <s v="Outsole Type 28"/>
    <n v="192"/>
    <n v="195"/>
    <n v="3"/>
    <x v="0"/>
    <s v="2025-11-02 16:23:00"/>
    <s v="OK"/>
  </r>
  <r>
    <x v="9"/>
    <s v="B"/>
    <x v="0"/>
    <x v="3"/>
    <x v="3"/>
    <s v="CMP0026"/>
    <s v="Accessory 26"/>
    <n v="492"/>
    <n v="500"/>
    <n v="8"/>
    <x v="0"/>
    <s v="2025-11-07 07:32:00"/>
    <s v="Check"/>
  </r>
  <r>
    <x v="1"/>
    <s v="A"/>
    <x v="1"/>
    <x v="0"/>
    <x v="0"/>
    <s v="CMP0003"/>
    <s v="Upper Material 3"/>
    <n v="85"/>
    <n v="94"/>
    <n v="9"/>
    <x v="0"/>
    <s v="2025-11-02 16:21:00"/>
    <s v="Check"/>
  </r>
  <r>
    <x v="13"/>
    <s v="B"/>
    <x v="4"/>
    <x v="1"/>
    <x v="1"/>
    <s v="CMP0013"/>
    <s v="Outsole Type 13"/>
    <n v="445"/>
    <n v="455"/>
    <n v="10"/>
    <x v="0"/>
    <s v="2025-11-06 06:54:00"/>
    <s v="Check"/>
  </r>
  <r>
    <x v="12"/>
    <s v="A"/>
    <x v="2"/>
    <x v="3"/>
    <x v="3"/>
    <s v="CMP0009"/>
    <s v="Upper Material 9"/>
    <n v="192"/>
    <n v="192"/>
    <n v="0"/>
    <x v="2"/>
    <s v="2025-11-14 12:52:00"/>
    <s v="OK"/>
  </r>
  <r>
    <x v="13"/>
    <s v="A"/>
    <x v="1"/>
    <x v="0"/>
    <x v="0"/>
    <s v="CMP0001"/>
    <s v="Outsole Type 1"/>
    <n v="229"/>
    <n v="233"/>
    <n v="4"/>
    <x v="0"/>
    <s v="2025-11-06 13:06:00"/>
    <s v="OK"/>
  </r>
  <r>
    <x v="8"/>
    <s v="C"/>
    <x v="1"/>
    <x v="3"/>
    <x v="3"/>
    <s v="CMP0024"/>
    <s v="Upper Material 24"/>
    <n v="378"/>
    <n v="382"/>
    <n v="4"/>
    <x v="0"/>
    <s v="2025-11-10 12:23:00"/>
    <s v="OK"/>
  </r>
  <r>
    <x v="4"/>
    <s v="C"/>
    <x v="0"/>
    <x v="2"/>
    <x v="2"/>
    <s v="CMP0020"/>
    <s v="Accessory 20"/>
    <n v="310"/>
    <n v="314"/>
    <n v="4"/>
    <x v="0"/>
    <s v="2025-11-05 16:57:00"/>
    <s v="OK"/>
  </r>
  <r>
    <x v="11"/>
    <s v="C"/>
    <x v="4"/>
    <x v="3"/>
    <x v="3"/>
    <s v="CMP0008"/>
    <s v="Accessory 8"/>
    <n v="254"/>
    <n v="265"/>
    <n v="11"/>
    <x v="0"/>
    <s v="2025-11-13 13:45:00"/>
    <s v="Check"/>
  </r>
  <r>
    <x v="2"/>
    <s v="B"/>
    <x v="1"/>
    <x v="2"/>
    <x v="2"/>
    <s v="CMP0023"/>
    <s v="Accessory 23"/>
    <n v="397"/>
    <n v="393"/>
    <n v="-4"/>
    <x v="1"/>
    <s v="2025-11-01 08:27:00"/>
    <s v="OK"/>
  </r>
  <r>
    <x v="3"/>
    <s v="C"/>
    <x v="4"/>
    <x v="3"/>
    <x v="3"/>
    <s v="CMP0017"/>
    <s v="Accessory 17"/>
    <n v="481"/>
    <n v="487"/>
    <n v="6"/>
    <x v="0"/>
    <s v="2025-11-12 08:46:00"/>
    <s v="Check"/>
  </r>
  <r>
    <x v="10"/>
    <s v="C"/>
    <x v="2"/>
    <x v="3"/>
    <x v="3"/>
    <s v="CMP0013"/>
    <s v="Outsole Type 13"/>
    <n v="324"/>
    <n v="329"/>
    <n v="5"/>
    <x v="0"/>
    <s v="2025-11-08 14:41:00"/>
    <s v="OK"/>
  </r>
  <r>
    <x v="7"/>
    <s v="B"/>
    <x v="0"/>
    <x v="1"/>
    <x v="1"/>
    <s v="CMP0001"/>
    <s v="Outsole Type 1"/>
    <n v="219"/>
    <n v="214"/>
    <n v="-5"/>
    <x v="1"/>
    <s v="2025-11-09 10:39:00"/>
    <s v="OK"/>
  </r>
  <r>
    <x v="1"/>
    <s v="C"/>
    <x v="2"/>
    <x v="1"/>
    <x v="1"/>
    <s v="CMP0003"/>
    <s v="Upper Material 3"/>
    <n v="64"/>
    <n v="75"/>
    <n v="11"/>
    <x v="0"/>
    <s v="2025-11-02 14:49:00"/>
    <s v="Check"/>
  </r>
  <r>
    <x v="9"/>
    <s v="B"/>
    <x v="0"/>
    <x v="2"/>
    <x v="2"/>
    <s v="CMP0027"/>
    <s v="Upper Material 27"/>
    <n v="109"/>
    <n v="101"/>
    <n v="-8"/>
    <x v="1"/>
    <s v="2025-11-07 13:29:00"/>
    <s v="Check"/>
  </r>
  <r>
    <x v="1"/>
    <s v="B"/>
    <x v="1"/>
    <x v="1"/>
    <x v="1"/>
    <s v="CMP0028"/>
    <s v="Outsole Type 28"/>
    <n v="499"/>
    <n v="498"/>
    <n v="-1"/>
    <x v="1"/>
    <s v="2025-11-02 12:52:00"/>
    <s v="OK"/>
  </r>
  <r>
    <x v="7"/>
    <s v="A"/>
    <x v="0"/>
    <x v="0"/>
    <x v="0"/>
    <s v="CMP0017"/>
    <s v="Accessory 17"/>
    <n v="183"/>
    <n v="189"/>
    <n v="6"/>
    <x v="0"/>
    <s v="2025-11-09 17:37:00"/>
    <s v="Check"/>
  </r>
  <r>
    <x v="4"/>
    <s v="A"/>
    <x v="3"/>
    <x v="0"/>
    <x v="0"/>
    <s v="CMP0026"/>
    <s v="Accessory 26"/>
    <n v="141"/>
    <n v="152"/>
    <n v="11"/>
    <x v="0"/>
    <s v="2025-11-05 10:20:00"/>
    <s v="Check"/>
  </r>
  <r>
    <x v="12"/>
    <s v="C"/>
    <x v="4"/>
    <x v="2"/>
    <x v="2"/>
    <s v="CMP0018"/>
    <s v="Upper Material 18"/>
    <n v="347"/>
    <n v="357"/>
    <n v="10"/>
    <x v="0"/>
    <s v="2025-11-14 09:53:00"/>
    <s v="Check"/>
  </r>
  <r>
    <x v="0"/>
    <s v="B"/>
    <x v="4"/>
    <x v="0"/>
    <x v="0"/>
    <s v="CMP0005"/>
    <s v="Accessory 5"/>
    <n v="185"/>
    <n v="194"/>
    <n v="9"/>
    <x v="0"/>
    <s v="2025-11-11 07:17:00"/>
    <s v="Check"/>
  </r>
  <r>
    <x v="8"/>
    <s v="A"/>
    <x v="3"/>
    <x v="0"/>
    <x v="0"/>
    <s v="CMP0004"/>
    <s v="Outsole Type 4"/>
    <n v="69"/>
    <n v="69"/>
    <n v="0"/>
    <x v="2"/>
    <s v="2025-11-10 13:15:00"/>
    <s v="OK"/>
  </r>
  <r>
    <x v="12"/>
    <s v="A"/>
    <x v="2"/>
    <x v="3"/>
    <x v="3"/>
    <s v="CMP0010"/>
    <s v="Outsole Type 10"/>
    <n v="105"/>
    <n v="97"/>
    <n v="-8"/>
    <x v="1"/>
    <s v="2025-11-14 13:36:00"/>
    <s v="Check"/>
  </r>
  <r>
    <x v="13"/>
    <s v="A"/>
    <x v="3"/>
    <x v="1"/>
    <x v="1"/>
    <s v="CMP0027"/>
    <s v="Upper Material 27"/>
    <n v="355"/>
    <n v="352"/>
    <n v="-3"/>
    <x v="1"/>
    <s v="2025-11-06 15:42:00"/>
    <s v="OK"/>
  </r>
  <r>
    <x v="8"/>
    <s v="A"/>
    <x v="1"/>
    <x v="0"/>
    <x v="0"/>
    <s v="CMP0024"/>
    <s v="Upper Material 24"/>
    <n v="272"/>
    <n v="283"/>
    <n v="11"/>
    <x v="0"/>
    <s v="2025-11-10 12:21:00"/>
    <s v="Check"/>
  </r>
  <r>
    <x v="5"/>
    <s v="C"/>
    <x v="1"/>
    <x v="0"/>
    <x v="0"/>
    <s v="CMP0026"/>
    <s v="Accessory 26"/>
    <n v="226"/>
    <n v="225"/>
    <n v="-1"/>
    <x v="1"/>
    <s v="2025-11-04 06:31:00"/>
    <s v="OK"/>
  </r>
  <r>
    <x v="3"/>
    <s v="A"/>
    <x v="4"/>
    <x v="1"/>
    <x v="1"/>
    <s v="CMP0027"/>
    <s v="Upper Material 27"/>
    <n v="423"/>
    <n v="420"/>
    <n v="-3"/>
    <x v="1"/>
    <s v="2025-11-12 11:11:00"/>
    <s v="OK"/>
  </r>
  <r>
    <x v="1"/>
    <s v="C"/>
    <x v="1"/>
    <x v="0"/>
    <x v="0"/>
    <s v="CMP0007"/>
    <s v="Outsole Type 7"/>
    <n v="452"/>
    <n v="448"/>
    <n v="-4"/>
    <x v="1"/>
    <s v="2025-11-02 13:13:00"/>
    <s v="OK"/>
  </r>
  <r>
    <x v="2"/>
    <s v="B"/>
    <x v="4"/>
    <x v="0"/>
    <x v="0"/>
    <s v="CMP0008"/>
    <s v="Accessory 8"/>
    <n v="210"/>
    <n v="204"/>
    <n v="-6"/>
    <x v="1"/>
    <s v="2025-11-01 11:51:00"/>
    <s v="Check"/>
  </r>
  <r>
    <x v="0"/>
    <s v="C"/>
    <x v="3"/>
    <x v="1"/>
    <x v="1"/>
    <s v="CMP0004"/>
    <s v="Outsole Type 4"/>
    <n v="273"/>
    <n v="263"/>
    <n v="-10"/>
    <x v="1"/>
    <s v="2025-11-11 10:21:00"/>
    <s v="Check"/>
  </r>
  <r>
    <x v="5"/>
    <s v="A"/>
    <x v="3"/>
    <x v="3"/>
    <x v="3"/>
    <s v="CMP0024"/>
    <s v="Upper Material 24"/>
    <n v="360"/>
    <n v="351"/>
    <n v="-9"/>
    <x v="1"/>
    <s v="2025-11-04 10:56:00"/>
    <s v="Che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90402-5F07-49F6-9F75-F0FB0FD7BDF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35" firstHeaderRow="0" firstDataRow="1" firstDataCol="1"/>
  <pivotFields count="13">
    <pivotField numFmtId="164" showAll="0"/>
    <pivotField showAll="0"/>
    <pivotField axis="axisRow" dataField="1" showAll="0">
      <items count="6">
        <item x="3"/>
        <item x="4"/>
        <item x="2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2"/>
    <field x="3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ine" fld="2" subtotal="count" baseField="0" baseItem="0"/>
    <dataField name="Sum of Differen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D2B6D-E5C0-402B-B215-CA536EBD56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0AB1D-763C-41B3-9AFD-DC724A6667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B182" firstHeaderRow="1" firstDataRow="1" firstDataCol="1"/>
  <pivotFields count="13">
    <pivotField axis="axisRow" numFmtId="164" showAll="0">
      <items count="15">
        <item x="2"/>
        <item x="1"/>
        <item x="6"/>
        <item x="5"/>
        <item x="4"/>
        <item x="13"/>
        <item x="9"/>
        <item x="10"/>
        <item x="7"/>
        <item x="8"/>
        <item x="0"/>
        <item x="3"/>
        <item x="11"/>
        <item x="12"/>
        <item t="default"/>
      </items>
    </pivotField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0"/>
    <field x="2"/>
    <field x="3"/>
  </rowFields>
  <rowItems count="136">
    <i>
      <x/>
    </i>
    <i r="1">
      <x/>
    </i>
    <i r="2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r="1">
      <x v="4"/>
    </i>
    <i r="2">
      <x v="1"/>
    </i>
    <i r="2">
      <x v="3"/>
    </i>
    <i>
      <x v="1"/>
    </i>
    <i r="1">
      <x v="1"/>
    </i>
    <i r="2">
      <x/>
    </i>
    <i r="2">
      <x v="2"/>
    </i>
    <i r="1">
      <x v="2"/>
    </i>
    <i r="2">
      <x/>
    </i>
    <i r="2">
      <x v="2"/>
    </i>
    <i r="1">
      <x v="3"/>
    </i>
    <i r="2">
      <x v="2"/>
    </i>
    <i r="1">
      <x v="4"/>
    </i>
    <i r="2">
      <x v="1"/>
    </i>
    <i r="2">
      <x v="2"/>
    </i>
    <i>
      <x v="2"/>
    </i>
    <i r="1">
      <x/>
    </i>
    <i r="2">
      <x v="2"/>
    </i>
    <i r="2">
      <x v="3"/>
    </i>
    <i r="1">
      <x v="1"/>
    </i>
    <i r="2">
      <x/>
    </i>
    <i>
      <x v="3"/>
    </i>
    <i r="1">
      <x/>
    </i>
    <i r="2">
      <x/>
    </i>
    <i r="1">
      <x v="1"/>
    </i>
    <i r="2">
      <x/>
    </i>
    <i r="1">
      <x v="2"/>
    </i>
    <i r="2">
      <x v="1"/>
    </i>
    <i r="1">
      <x v="3"/>
    </i>
    <i r="2">
      <x v="2"/>
    </i>
    <i r="1">
      <x v="4"/>
    </i>
    <i r="2">
      <x v="1"/>
    </i>
    <i r="2">
      <x v="2"/>
    </i>
    <i r="2">
      <x v="3"/>
    </i>
    <i>
      <x v="4"/>
    </i>
    <i r="1">
      <x/>
    </i>
    <i r="2">
      <x v="1"/>
    </i>
    <i r="1">
      <x v="2"/>
    </i>
    <i r="2">
      <x/>
    </i>
    <i r="1">
      <x v="3"/>
    </i>
    <i r="2">
      <x v="3"/>
    </i>
    <i r="1">
      <x v="4"/>
    </i>
    <i r="2">
      <x v="3"/>
    </i>
    <i>
      <x v="5"/>
    </i>
    <i r="1">
      <x/>
    </i>
    <i r="2">
      <x v="2"/>
    </i>
    <i r="1">
      <x v="1"/>
    </i>
    <i r="2">
      <x v="2"/>
    </i>
    <i r="1">
      <x v="4"/>
    </i>
    <i r="2">
      <x/>
    </i>
    <i r="2">
      <x v="1"/>
    </i>
    <i>
      <x v="6"/>
    </i>
    <i r="1">
      <x v="1"/>
    </i>
    <i r="2">
      <x v="1"/>
    </i>
    <i r="2">
      <x v="2"/>
    </i>
    <i r="1">
      <x v="3"/>
    </i>
    <i r="2">
      <x/>
    </i>
    <i r="2">
      <x v="3"/>
    </i>
    <i r="1">
      <x v="4"/>
    </i>
    <i r="2">
      <x v="2"/>
    </i>
    <i>
      <x v="7"/>
    </i>
    <i r="1">
      <x/>
    </i>
    <i r="2">
      <x/>
    </i>
    <i r="1">
      <x v="2"/>
    </i>
    <i r="2">
      <x/>
    </i>
    <i>
      <x v="8"/>
    </i>
    <i r="1">
      <x/>
    </i>
    <i r="2">
      <x v="2"/>
    </i>
    <i r="1">
      <x v="1"/>
    </i>
    <i r="2">
      <x v="2"/>
    </i>
    <i r="1">
      <x v="3"/>
    </i>
    <i r="2">
      <x v="1"/>
    </i>
    <i r="2">
      <x v="2"/>
    </i>
    <i r="1">
      <x v="4"/>
    </i>
    <i r="2">
      <x/>
    </i>
    <i r="2">
      <x v="1"/>
    </i>
    <i>
      <x v="9"/>
    </i>
    <i r="1">
      <x/>
    </i>
    <i r="2">
      <x/>
    </i>
    <i r="2">
      <x v="1"/>
    </i>
    <i r="1">
      <x v="3"/>
    </i>
    <i r="2">
      <x/>
    </i>
    <i r="1">
      <x v="4"/>
    </i>
    <i r="2">
      <x/>
    </i>
    <i r="2">
      <x v="1"/>
    </i>
    <i r="2">
      <x v="2"/>
    </i>
    <i>
      <x v="10"/>
    </i>
    <i r="1">
      <x/>
    </i>
    <i r="2">
      <x v="2"/>
    </i>
    <i r="1">
      <x v="1"/>
    </i>
    <i r="2">
      <x v="1"/>
    </i>
    <i r="2">
      <x v="3"/>
    </i>
    <i r="1">
      <x v="2"/>
    </i>
    <i r="2">
      <x v="2"/>
    </i>
    <i r="1">
      <x v="3"/>
    </i>
    <i r="2">
      <x v="1"/>
    </i>
    <i>
      <x v="11"/>
    </i>
    <i r="1">
      <x/>
    </i>
    <i r="2">
      <x/>
    </i>
    <i r="2">
      <x v="1"/>
    </i>
    <i r="1">
      <x v="1"/>
    </i>
    <i r="2">
      <x/>
    </i>
    <i r="2">
      <x v="2"/>
    </i>
    <i r="1">
      <x v="2"/>
    </i>
    <i r="2">
      <x/>
    </i>
    <i r="2">
      <x v="1"/>
    </i>
    <i r="1">
      <x v="3"/>
    </i>
    <i r="2">
      <x v="1"/>
    </i>
    <i>
      <x v="12"/>
    </i>
    <i r="1">
      <x/>
    </i>
    <i r="2">
      <x/>
    </i>
    <i r="1">
      <x v="1"/>
    </i>
    <i r="2">
      <x/>
    </i>
    <i r="1">
      <x v="2"/>
    </i>
    <i r="2">
      <x v="1"/>
    </i>
    <i r="2">
      <x v="2"/>
    </i>
    <i r="1">
      <x v="3"/>
    </i>
    <i r="2">
      <x v="2"/>
    </i>
    <i>
      <x v="13"/>
    </i>
    <i r="1">
      <x/>
    </i>
    <i r="2">
      <x v="3"/>
    </i>
    <i r="1">
      <x v="1"/>
    </i>
    <i r="2">
      <x v="3"/>
    </i>
    <i r="1">
      <x v="2"/>
    </i>
    <i r="2">
      <x/>
    </i>
    <i t="grand">
      <x/>
    </i>
  </rowItems>
  <colItems count="1">
    <i/>
  </colItems>
  <dataFields count="1">
    <dataField name="Sum of Differen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E7608-95FC-4554-90DD-BA32FECF39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C43" firstHeaderRow="0" firstDataRow="1" firstDataCol="1"/>
  <pivotFields count="13">
    <pivotField numFmtId="16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P_Qty" fld="7" baseField="0" baseItem="0"/>
    <dataField name="Sum of MES_Q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M81">
  <autoFilter ref="A1:M81" xr:uid="{00000000-0009-0000-0100-000001000000}"/>
  <tableColumns count="13">
    <tableColumn id="1" xr3:uid="{00000000-0010-0000-0000-000001000000}" name="Date"/>
    <tableColumn id="2" xr3:uid="{00000000-0010-0000-0000-000002000000}" name="Shift"/>
    <tableColumn id="3" xr3:uid="{00000000-0010-0000-0000-000003000000}" name="Line"/>
    <tableColumn id="4" xr3:uid="{00000000-0010-0000-0000-000004000000}" name="Process"/>
    <tableColumn id="5" xr3:uid="{00000000-0010-0000-0000-000005000000}" name="MES_Code"/>
    <tableColumn id="6" xr3:uid="{00000000-0010-0000-0000-000006000000}" name="ComponentCode"/>
    <tableColumn id="7" xr3:uid="{00000000-0010-0000-0000-000007000000}" name="Component_Desc">
      <calculatedColumnFormula>VLOOKUP(F2,ComponentsMaster!$A:$C,2,FALSE)</calculatedColumnFormula>
    </tableColumn>
    <tableColumn id="8" xr3:uid="{00000000-0010-0000-0000-000008000000}" name="SAP_Qty"/>
    <tableColumn id="9" xr3:uid="{00000000-0010-0000-0000-000009000000}" name="MES_Qty"/>
    <tableColumn id="10" xr3:uid="{00000000-0010-0000-0000-00000A000000}" name="Difference">
      <calculatedColumnFormula>I2-H2</calculatedColumnFormula>
    </tableColumn>
    <tableColumn id="12" xr3:uid="{00000000-0010-0000-0000-00000C000000}" name="Status" dataDxfId="1">
      <calculatedColumnFormula>IF(J2=0,"Match",IF(J2&lt;0,"Short","Over"))</calculatedColumnFormula>
    </tableColumn>
    <tableColumn id="13" xr3:uid="{00000000-0010-0000-0000-00000D000000}" name="ScanTime"/>
    <tableColumn id="14" xr3:uid="{31066957-7A34-456E-8E7B-B425D25C141F}" name="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iskaamylatulaskiyah/ProductionPlanningPortfolio/blob/main/Production%20Planning_Riska_Portfolio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E554-334B-42DC-BD15-9247C1BB9726}">
  <dimension ref="A1:A201"/>
  <sheetViews>
    <sheetView tabSelected="1" topLeftCell="A110" zoomScale="85" zoomScaleNormal="85" workbookViewId="0">
      <selection activeCell="B197" sqref="B197"/>
    </sheetView>
  </sheetViews>
  <sheetFormatPr defaultRowHeight="14.4"/>
  <sheetData>
    <row r="1" spans="1:1">
      <c r="A1" s="16" t="s">
        <v>197</v>
      </c>
    </row>
    <row r="2" spans="1:1">
      <c r="A2" s="16" t="s">
        <v>198</v>
      </c>
    </row>
    <row r="3" spans="1:1">
      <c r="A3" t="s">
        <v>211</v>
      </c>
    </row>
    <row r="4" spans="1:1">
      <c r="A4" s="24" t="s">
        <v>212</v>
      </c>
    </row>
    <row r="6" spans="1:1" ht="31.2">
      <c r="A6" s="17" t="s">
        <v>207</v>
      </c>
    </row>
    <row r="8" spans="1:1">
      <c r="A8" t="s">
        <v>213</v>
      </c>
    </row>
    <row r="10" spans="1:1">
      <c r="A10" t="s">
        <v>214</v>
      </c>
    </row>
    <row r="12" spans="1:1">
      <c r="A12" t="s">
        <v>215</v>
      </c>
    </row>
    <row r="13" spans="1:1">
      <c r="A13" s="19"/>
    </row>
    <row r="14" spans="1:1">
      <c r="A14" s="19" t="s">
        <v>216</v>
      </c>
    </row>
    <row r="15" spans="1:1">
      <c r="A15" s="19"/>
    </row>
    <row r="16" spans="1:1">
      <c r="A16" s="19" t="s">
        <v>217</v>
      </c>
    </row>
    <row r="17" spans="1:1">
      <c r="A17" s="19"/>
    </row>
    <row r="18" spans="1:1">
      <c r="A18" s="19" t="s">
        <v>218</v>
      </c>
    </row>
    <row r="19" spans="1:1">
      <c r="A19" s="19"/>
    </row>
    <row r="20" spans="1:1">
      <c r="A20" s="19" t="s">
        <v>219</v>
      </c>
    </row>
    <row r="21" spans="1:1">
      <c r="A21" s="19"/>
    </row>
    <row r="22" spans="1:1">
      <c r="A22" s="19" t="s">
        <v>220</v>
      </c>
    </row>
    <row r="23" spans="1:1">
      <c r="A23" s="19"/>
    </row>
    <row r="24" spans="1:1">
      <c r="A24" s="19" t="s">
        <v>221</v>
      </c>
    </row>
    <row r="25" spans="1:1">
      <c r="A25" s="19"/>
    </row>
    <row r="26" spans="1:1">
      <c r="A26" s="19" t="s">
        <v>222</v>
      </c>
    </row>
    <row r="28" spans="1:1">
      <c r="A28" t="s">
        <v>223</v>
      </c>
    </row>
    <row r="31" spans="1:1" ht="31.2">
      <c r="A31" s="17" t="s">
        <v>206</v>
      </c>
    </row>
    <row r="32" spans="1:1">
      <c r="A32" s="19"/>
    </row>
    <row r="33" spans="1:1">
      <c r="A33" t="s">
        <v>224</v>
      </c>
    </row>
    <row r="34" spans="1:1">
      <c r="A34" s="19"/>
    </row>
    <row r="35" spans="1:1">
      <c r="A35" s="19" t="s">
        <v>225</v>
      </c>
    </row>
    <row r="36" spans="1:1">
      <c r="A36" s="19"/>
    </row>
    <row r="37" spans="1:1">
      <c r="A37" s="19" t="s">
        <v>226</v>
      </c>
    </row>
    <row r="38" spans="1:1">
      <c r="A38" s="19"/>
    </row>
    <row r="39" spans="1:1">
      <c r="A39" s="19" t="s">
        <v>227</v>
      </c>
    </row>
    <row r="40" spans="1:1">
      <c r="A40" s="19"/>
    </row>
    <row r="41" spans="1:1">
      <c r="A41" s="19" t="s">
        <v>228</v>
      </c>
    </row>
    <row r="43" spans="1:1">
      <c r="A43" s="25" t="s">
        <v>229</v>
      </c>
    </row>
    <row r="44" spans="1:1">
      <c r="A44" s="25"/>
    </row>
    <row r="45" spans="1:1">
      <c r="A45" s="25" t="s">
        <v>230</v>
      </c>
    </row>
    <row r="46" spans="1:1">
      <c r="A46" s="25"/>
    </row>
    <row r="47" spans="1:1">
      <c r="A47" s="25" t="s">
        <v>231</v>
      </c>
    </row>
    <row r="48" spans="1:1">
      <c r="A48" s="25"/>
    </row>
    <row r="49" spans="1:1">
      <c r="A49" s="25" t="s">
        <v>232</v>
      </c>
    </row>
    <row r="50" spans="1:1">
      <c r="A50" s="25"/>
    </row>
    <row r="51" spans="1:1">
      <c r="A51" s="25" t="s">
        <v>233</v>
      </c>
    </row>
    <row r="52" spans="1:1">
      <c r="A52" s="19"/>
    </row>
    <row r="53" spans="1:1">
      <c r="A53" s="19" t="s">
        <v>234</v>
      </c>
    </row>
    <row r="54" spans="1:1">
      <c r="A54" s="19"/>
    </row>
    <row r="55" spans="1:1">
      <c r="A55" s="19" t="s">
        <v>235</v>
      </c>
    </row>
    <row r="56" spans="1:1">
      <c r="A56" s="19"/>
    </row>
    <row r="57" spans="1:1">
      <c r="A57" s="19" t="s">
        <v>236</v>
      </c>
    </row>
    <row r="60" spans="1:1" ht="31.2">
      <c r="A60" s="17" t="s">
        <v>205</v>
      </c>
    </row>
    <row r="62" spans="1:1" ht="18">
      <c r="A62" s="18" t="s">
        <v>237</v>
      </c>
    </row>
    <row r="63" spans="1:1">
      <c r="A63" s="19"/>
    </row>
    <row r="64" spans="1:1">
      <c r="A64" s="20" t="s">
        <v>238</v>
      </c>
    </row>
    <row r="65" spans="1:1">
      <c r="A65" s="19"/>
    </row>
    <row r="66" spans="1:1">
      <c r="A66" s="20" t="s">
        <v>239</v>
      </c>
    </row>
    <row r="67" spans="1:1">
      <c r="A67" s="19"/>
    </row>
    <row r="68" spans="1:1">
      <c r="A68" s="20" t="s">
        <v>240</v>
      </c>
    </row>
    <row r="69" spans="1:1">
      <c r="A69" s="19"/>
    </row>
    <row r="70" spans="1:1">
      <c r="A70" s="20" t="s">
        <v>241</v>
      </c>
    </row>
    <row r="72" spans="1:1" ht="18">
      <c r="A72" s="18" t="s">
        <v>242</v>
      </c>
    </row>
    <row r="73" spans="1:1">
      <c r="A73" s="19"/>
    </row>
    <row r="74" spans="1:1">
      <c r="A74" s="20" t="s">
        <v>243</v>
      </c>
    </row>
    <row r="75" spans="1:1">
      <c r="A75" s="19"/>
    </row>
    <row r="76" spans="1:1">
      <c r="A76" s="20" t="s">
        <v>244</v>
      </c>
    </row>
    <row r="77" spans="1:1">
      <c r="A77" s="19"/>
    </row>
    <row r="78" spans="1:1">
      <c r="A78" s="20" t="s">
        <v>245</v>
      </c>
    </row>
    <row r="80" spans="1:1" ht="18">
      <c r="A80" s="18" t="s">
        <v>246</v>
      </c>
    </row>
    <row r="82" spans="1:1">
      <c r="A82" s="16" t="s">
        <v>247</v>
      </c>
    </row>
    <row r="83" spans="1:1">
      <c r="A83" t="s">
        <v>248</v>
      </c>
    </row>
    <row r="85" spans="1:1">
      <c r="A85" s="16" t="s">
        <v>249</v>
      </c>
    </row>
    <row r="86" spans="1:1">
      <c r="A86" t="s">
        <v>250</v>
      </c>
    </row>
    <row r="88" spans="1:1">
      <c r="A88" s="16" t="s">
        <v>251</v>
      </c>
    </row>
    <row r="89" spans="1:1">
      <c r="A89" t="s">
        <v>252</v>
      </c>
    </row>
    <row r="92" spans="1:1" ht="23.4">
      <c r="A92" s="26" t="s">
        <v>337</v>
      </c>
    </row>
    <row r="94" spans="1:1" ht="18">
      <c r="A94" s="18" t="s">
        <v>338</v>
      </c>
    </row>
    <row r="96" spans="1:1">
      <c r="A96" t="s">
        <v>203</v>
      </c>
    </row>
    <row r="97" spans="1:1">
      <c r="A97" s="19"/>
    </row>
    <row r="98" spans="1:1">
      <c r="A98" s="19" t="s">
        <v>339</v>
      </c>
    </row>
    <row r="99" spans="1:1">
      <c r="A99" s="19"/>
    </row>
    <row r="100" spans="1:1">
      <c r="A100" s="19" t="s">
        <v>67</v>
      </c>
    </row>
    <row r="101" spans="1:1">
      <c r="A101" s="19"/>
    </row>
    <row r="102" spans="1:1">
      <c r="A102" s="19" t="s">
        <v>340</v>
      </c>
    </row>
    <row r="103" spans="1:1">
      <c r="A103" s="19"/>
    </row>
    <row r="104" spans="1:1">
      <c r="A104" s="19" t="s">
        <v>341</v>
      </c>
    </row>
    <row r="105" spans="1:1">
      <c r="A105" s="19"/>
    </row>
    <row r="106" spans="1:1">
      <c r="A106" s="19" t="s">
        <v>342</v>
      </c>
    </row>
    <row r="107" spans="1:1">
      <c r="A107" s="19"/>
    </row>
    <row r="108" spans="1:1">
      <c r="A108" s="19" t="s">
        <v>343</v>
      </c>
    </row>
    <row r="109" spans="1:1">
      <c r="A109" s="19"/>
    </row>
    <row r="110" spans="1:1">
      <c r="A110" s="19" t="s">
        <v>293</v>
      </c>
    </row>
    <row r="111" spans="1:1">
      <c r="A111" s="19" t="s">
        <v>344</v>
      </c>
    </row>
    <row r="114" spans="1:1" ht="18">
      <c r="A114" s="18" t="s">
        <v>345</v>
      </c>
    </row>
    <row r="116" spans="1:1">
      <c r="A116" t="s">
        <v>346</v>
      </c>
    </row>
    <row r="117" spans="1:1">
      <c r="A117" s="19"/>
    </row>
    <row r="118" spans="1:1">
      <c r="A118" s="19" t="s">
        <v>0</v>
      </c>
    </row>
    <row r="119" spans="1:1">
      <c r="A119" s="19"/>
    </row>
    <row r="120" spans="1:1">
      <c r="A120" s="19" t="s">
        <v>1</v>
      </c>
    </row>
    <row r="121" spans="1:1">
      <c r="A121" s="19"/>
    </row>
    <row r="122" spans="1:1">
      <c r="A122" s="19" t="s">
        <v>2</v>
      </c>
    </row>
    <row r="123" spans="1:1">
      <c r="A123" s="19" t="s">
        <v>347</v>
      </c>
    </row>
    <row r="126" spans="1:1" ht="18">
      <c r="A126" s="18" t="s">
        <v>348</v>
      </c>
    </row>
    <row r="128" spans="1:1">
      <c r="A128" t="s">
        <v>349</v>
      </c>
    </row>
    <row r="129" spans="1:1">
      <c r="A129" s="19"/>
    </row>
    <row r="130" spans="1:1">
      <c r="A130" s="19" t="s">
        <v>201</v>
      </c>
    </row>
    <row r="131" spans="1:1">
      <c r="A131" s="19"/>
    </row>
    <row r="132" spans="1:1">
      <c r="A132" s="19" t="s">
        <v>350</v>
      </c>
    </row>
    <row r="133" spans="1:1">
      <c r="A133" s="19"/>
    </row>
    <row r="134" spans="1:1">
      <c r="A134" s="19" t="s">
        <v>351</v>
      </c>
    </row>
    <row r="135" spans="1:1">
      <c r="A135" s="19"/>
    </row>
    <row r="136" spans="1:1">
      <c r="A136" s="19" t="s">
        <v>352</v>
      </c>
    </row>
    <row r="137" spans="1:1">
      <c r="A137" s="19"/>
    </row>
    <row r="138" spans="1:1">
      <c r="A138" s="19" t="s">
        <v>353</v>
      </c>
    </row>
    <row r="140" spans="1:1">
      <c r="A140" t="s">
        <v>354</v>
      </c>
    </row>
    <row r="143" spans="1:1" ht="18">
      <c r="A143" s="18" t="s">
        <v>355</v>
      </c>
    </row>
    <row r="145" spans="1:1">
      <c r="A145" t="s">
        <v>356</v>
      </c>
    </row>
    <row r="146" spans="1:1">
      <c r="A146" s="19"/>
    </row>
    <row r="147" spans="1:1">
      <c r="A147" s="19" t="s">
        <v>357</v>
      </c>
    </row>
    <row r="148" spans="1:1">
      <c r="A148" s="19"/>
    </row>
    <row r="149" spans="1:1">
      <c r="A149" s="19" t="s">
        <v>358</v>
      </c>
    </row>
    <row r="150" spans="1:1">
      <c r="A150" s="19"/>
    </row>
    <row r="151" spans="1:1">
      <c r="A151" s="19" t="s">
        <v>359</v>
      </c>
    </row>
    <row r="152" spans="1:1">
      <c r="A152" s="19"/>
    </row>
    <row r="153" spans="1:1">
      <c r="A153" s="20" t="s">
        <v>360</v>
      </c>
    </row>
    <row r="154" spans="1:1">
      <c r="A154" s="19" t="s">
        <v>361</v>
      </c>
    </row>
    <row r="155" spans="1:1">
      <c r="A155" s="28" t="s">
        <v>379</v>
      </c>
    </row>
    <row r="158" spans="1:1" ht="18">
      <c r="A158" s="18" t="s">
        <v>362</v>
      </c>
    </row>
    <row r="160" spans="1:1">
      <c r="A160" t="s">
        <v>363</v>
      </c>
    </row>
    <row r="161" spans="1:1">
      <c r="A161" s="19"/>
    </row>
    <row r="162" spans="1:1">
      <c r="A162" s="19" t="s">
        <v>364</v>
      </c>
    </row>
    <row r="163" spans="1:1">
      <c r="A163" s="19"/>
    </row>
    <row r="164" spans="1:1">
      <c r="A164" s="19" t="s">
        <v>202</v>
      </c>
    </row>
    <row r="165" spans="1:1">
      <c r="A165" s="19"/>
    </row>
    <row r="166" spans="1:1">
      <c r="A166" s="19" t="s">
        <v>179</v>
      </c>
    </row>
    <row r="167" spans="1:1">
      <c r="A167" s="19"/>
    </row>
    <row r="168" spans="1:1">
      <c r="A168" s="19" t="s">
        <v>180</v>
      </c>
    </row>
    <row r="171" spans="1:1" ht="18">
      <c r="A171" s="18" t="s">
        <v>365</v>
      </c>
    </row>
    <row r="173" spans="1:1">
      <c r="A173" t="s">
        <v>366</v>
      </c>
    </row>
    <row r="176" spans="1:1" ht="23.4">
      <c r="A176" s="26" t="s">
        <v>204</v>
      </c>
    </row>
    <row r="177" spans="1:1">
      <c r="A177" s="19"/>
    </row>
    <row r="178" spans="1:1">
      <c r="A178" s="19" t="s">
        <v>367</v>
      </c>
    </row>
    <row r="179" spans="1:1">
      <c r="A179" s="19"/>
    </row>
    <row r="180" spans="1:1">
      <c r="A180" s="19" t="s">
        <v>368</v>
      </c>
    </row>
    <row r="181" spans="1:1">
      <c r="A181" s="19"/>
    </row>
    <row r="182" spans="1:1">
      <c r="A182" s="19" t="s">
        <v>369</v>
      </c>
    </row>
    <row r="183" spans="1:1">
      <c r="A183" s="19"/>
    </row>
    <row r="184" spans="1:1">
      <c r="A184" s="19" t="s">
        <v>370</v>
      </c>
    </row>
    <row r="185" spans="1:1">
      <c r="A185" s="19"/>
    </row>
    <row r="186" spans="1:1">
      <c r="A186" s="19" t="s">
        <v>371</v>
      </c>
    </row>
    <row r="189" spans="1:1" ht="23.4">
      <c r="A189" s="26" t="s">
        <v>372</v>
      </c>
    </row>
    <row r="190" spans="1:1">
      <c r="A190" s="19"/>
    </row>
    <row r="191" spans="1:1">
      <c r="A191" s="19" t="s">
        <v>373</v>
      </c>
    </row>
    <row r="192" spans="1:1">
      <c r="A192" s="19"/>
    </row>
    <row r="193" spans="1:1">
      <c r="A193" s="19" t="s">
        <v>374</v>
      </c>
    </row>
    <row r="194" spans="1:1">
      <c r="A194" s="19"/>
    </row>
    <row r="195" spans="1:1">
      <c r="A195" s="19" t="s">
        <v>375</v>
      </c>
    </row>
    <row r="196" spans="1:1">
      <c r="A196" s="19"/>
    </row>
    <row r="197" spans="1:1">
      <c r="A197" s="19" t="s">
        <v>376</v>
      </c>
    </row>
    <row r="198" spans="1:1">
      <c r="A198" s="19"/>
    </row>
    <row r="199" spans="1:1">
      <c r="A199" s="19" t="s">
        <v>377</v>
      </c>
    </row>
    <row r="200" spans="1:1">
      <c r="A200" s="19"/>
    </row>
    <row r="201" spans="1:1">
      <c r="A201" s="19" t="s">
        <v>378</v>
      </c>
    </row>
  </sheetData>
  <hyperlinks>
    <hyperlink ref="A4" r:id="rId1" xr:uid="{AE363C69-1911-4731-8A2D-0A50E4CA73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35CA-95A1-49C7-9449-00E61253FA2F}">
  <dimension ref="A6:A203"/>
  <sheetViews>
    <sheetView workbookViewId="0">
      <selection activeCell="I5" sqref="I5"/>
    </sheetView>
  </sheetViews>
  <sheetFormatPr defaultRowHeight="14.4"/>
  <sheetData>
    <row r="6" spans="1:1" ht="23.4">
      <c r="A6" s="26" t="s">
        <v>336</v>
      </c>
    </row>
    <row r="8" spans="1:1">
      <c r="A8" t="s">
        <v>253</v>
      </c>
    </row>
    <row r="9" spans="1:1">
      <c r="A9" t="s">
        <v>254</v>
      </c>
    </row>
    <row r="11" spans="1:1">
      <c r="A11" t="s">
        <v>255</v>
      </c>
    </row>
    <row r="12" spans="1:1">
      <c r="A12" s="19"/>
    </row>
    <row r="13" spans="1:1">
      <c r="A13" s="19" t="s">
        <v>256</v>
      </c>
    </row>
    <row r="14" spans="1:1">
      <c r="A14" s="19"/>
    </row>
    <row r="15" spans="1:1">
      <c r="A15" s="19" t="s">
        <v>257</v>
      </c>
    </row>
    <row r="16" spans="1:1">
      <c r="A16" s="19"/>
    </row>
    <row r="17" spans="1:1">
      <c r="A17" s="19" t="s">
        <v>258</v>
      </c>
    </row>
    <row r="18" spans="1:1">
      <c r="A18" s="19"/>
    </row>
    <row r="19" spans="1:1">
      <c r="A19" s="19" t="s">
        <v>259</v>
      </c>
    </row>
    <row r="20" spans="1:1">
      <c r="A20" s="19"/>
    </row>
    <row r="21" spans="1:1">
      <c r="A21" s="19" t="s">
        <v>260</v>
      </c>
    </row>
    <row r="22" spans="1:1">
      <c r="A22" s="19"/>
    </row>
    <row r="23" spans="1:1">
      <c r="A23" s="19" t="s">
        <v>261</v>
      </c>
    </row>
    <row r="24" spans="1:1">
      <c r="A24" s="19"/>
    </row>
    <row r="25" spans="1:1">
      <c r="A25" s="19" t="s">
        <v>262</v>
      </c>
    </row>
    <row r="27" spans="1:1">
      <c r="A27" t="s">
        <v>263</v>
      </c>
    </row>
    <row r="31" spans="1:1" ht="23.4">
      <c r="A31" s="26" t="s">
        <v>264</v>
      </c>
    </row>
    <row r="32" spans="1:1">
      <c r="A32" s="19"/>
    </row>
    <row r="33" spans="1:1">
      <c r="A33" s="19" t="s">
        <v>265</v>
      </c>
    </row>
    <row r="34" spans="1:1">
      <c r="A34" s="19"/>
    </row>
    <row r="35" spans="1:1">
      <c r="A35" s="19" t="s">
        <v>266</v>
      </c>
    </row>
    <row r="36" spans="1:1">
      <c r="A36" s="19"/>
    </row>
    <row r="37" spans="1:1">
      <c r="A37" s="19" t="s">
        <v>267</v>
      </c>
    </row>
    <row r="38" spans="1:1">
      <c r="A38" s="19"/>
    </row>
    <row r="39" spans="1:1">
      <c r="A39" s="19" t="s">
        <v>268</v>
      </c>
    </row>
    <row r="40" spans="1:1">
      <c r="A40" s="19"/>
    </row>
    <row r="41" spans="1:1">
      <c r="A41" s="19" t="s">
        <v>269</v>
      </c>
    </row>
    <row r="42" spans="1:1">
      <c r="A42" s="19"/>
    </row>
    <row r="43" spans="1:1">
      <c r="A43" s="19" t="s">
        <v>270</v>
      </c>
    </row>
    <row r="44" spans="1:1">
      <c r="A44" s="19"/>
    </row>
    <row r="45" spans="1:1">
      <c r="A45" s="19" t="s">
        <v>271</v>
      </c>
    </row>
    <row r="49" spans="1:1" ht="23.4">
      <c r="A49" s="26" t="s">
        <v>272</v>
      </c>
    </row>
    <row r="51" spans="1:1" ht="18">
      <c r="A51" s="18" t="s">
        <v>273</v>
      </c>
    </row>
    <row r="52" spans="1:1">
      <c r="A52" s="19"/>
    </row>
    <row r="53" spans="1:1">
      <c r="A53" s="19" t="s">
        <v>274</v>
      </c>
    </row>
    <row r="54" spans="1:1">
      <c r="A54" s="19"/>
    </row>
    <row r="55" spans="1:1">
      <c r="A55" s="19" t="s">
        <v>275</v>
      </c>
    </row>
    <row r="56" spans="1:1">
      <c r="A56" s="19"/>
    </row>
    <row r="57" spans="1:1">
      <c r="A57" s="19" t="s">
        <v>276</v>
      </c>
    </row>
    <row r="58" spans="1:1">
      <c r="A58" s="19"/>
    </row>
    <row r="59" spans="1:1">
      <c r="A59" s="19" t="s">
        <v>277</v>
      </c>
    </row>
    <row r="61" spans="1:1" ht="18">
      <c r="A61" s="18" t="s">
        <v>278</v>
      </c>
    </row>
    <row r="62" spans="1:1">
      <c r="A62" s="19"/>
    </row>
    <row r="63" spans="1:1">
      <c r="A63" s="19" t="s">
        <v>279</v>
      </c>
    </row>
    <row r="64" spans="1:1">
      <c r="A64" s="19"/>
    </row>
    <row r="65" spans="1:1">
      <c r="A65" s="19" t="s">
        <v>280</v>
      </c>
    </row>
    <row r="66" spans="1:1">
      <c r="A66" s="19"/>
    </row>
    <row r="67" spans="1:1">
      <c r="A67" s="19" t="s">
        <v>281</v>
      </c>
    </row>
    <row r="69" spans="1:1" ht="18">
      <c r="A69" s="18" t="s">
        <v>282</v>
      </c>
    </row>
    <row r="71" spans="1:1">
      <c r="A71" t="s">
        <v>283</v>
      </c>
    </row>
    <row r="72" spans="1:1">
      <c r="A72" t="s">
        <v>284</v>
      </c>
    </row>
    <row r="73" spans="1:1">
      <c r="A73" t="s">
        <v>285</v>
      </c>
    </row>
    <row r="77" spans="1:1" ht="23.4">
      <c r="A77" s="26" t="s">
        <v>286</v>
      </c>
    </row>
    <row r="79" spans="1:1" ht="18">
      <c r="A79" s="18" t="s">
        <v>199</v>
      </c>
    </row>
    <row r="81" spans="1:1">
      <c r="A81" t="s">
        <v>287</v>
      </c>
    </row>
    <row r="82" spans="1:1">
      <c r="A82" s="19"/>
    </row>
    <row r="83" spans="1:1">
      <c r="A83" s="19" t="s">
        <v>288</v>
      </c>
    </row>
    <row r="84" spans="1:1">
      <c r="A84" s="19"/>
    </row>
    <row r="85" spans="1:1">
      <c r="A85" s="19" t="s">
        <v>67</v>
      </c>
    </row>
    <row r="86" spans="1:1">
      <c r="A86" s="19"/>
    </row>
    <row r="87" spans="1:1">
      <c r="A87" s="19" t="s">
        <v>289</v>
      </c>
    </row>
    <row r="88" spans="1:1">
      <c r="A88" s="19"/>
    </row>
    <row r="89" spans="1:1">
      <c r="A89" s="19" t="s">
        <v>290</v>
      </c>
    </row>
    <row r="90" spans="1:1">
      <c r="A90" s="19"/>
    </row>
    <row r="91" spans="1:1">
      <c r="A91" s="19" t="s">
        <v>291</v>
      </c>
    </row>
    <row r="92" spans="1:1">
      <c r="A92" s="19"/>
    </row>
    <row r="93" spans="1:1">
      <c r="A93" s="19" t="s">
        <v>292</v>
      </c>
    </row>
    <row r="94" spans="1:1">
      <c r="A94" s="19"/>
    </row>
    <row r="95" spans="1:1">
      <c r="A95" s="19" t="s">
        <v>293</v>
      </c>
    </row>
    <row r="99" spans="1:1" ht="18">
      <c r="A99" s="18" t="s">
        <v>200</v>
      </c>
    </row>
    <row r="101" spans="1:1">
      <c r="A101" t="s">
        <v>294</v>
      </c>
    </row>
    <row r="102" spans="1:1">
      <c r="A102" s="19"/>
    </row>
    <row r="103" spans="1:1">
      <c r="A103" s="19" t="s">
        <v>0</v>
      </c>
    </row>
    <row r="104" spans="1:1">
      <c r="A104" s="19"/>
    </row>
    <row r="105" spans="1:1">
      <c r="A105" s="19" t="s">
        <v>1</v>
      </c>
    </row>
    <row r="106" spans="1:1">
      <c r="A106" s="19"/>
    </row>
    <row r="107" spans="1:1">
      <c r="A107" s="19" t="s">
        <v>2</v>
      </c>
    </row>
    <row r="111" spans="1:1" ht="18">
      <c r="A111" s="18" t="s">
        <v>295</v>
      </c>
    </row>
    <row r="113" spans="1:1">
      <c r="A113" t="s">
        <v>296</v>
      </c>
    </row>
    <row r="114" spans="1:1">
      <c r="A114" s="19"/>
    </row>
    <row r="115" spans="1:1">
      <c r="A115" s="19" t="s">
        <v>297</v>
      </c>
    </row>
    <row r="116" spans="1:1">
      <c r="A116" s="19"/>
    </row>
    <row r="117" spans="1:1">
      <c r="A117" s="19" t="s">
        <v>298</v>
      </c>
    </row>
    <row r="118" spans="1:1">
      <c r="A118" s="19"/>
    </row>
    <row r="119" spans="1:1">
      <c r="A119" s="19" t="s">
        <v>299</v>
      </c>
    </row>
    <row r="120" spans="1:1">
      <c r="A120" s="19"/>
    </row>
    <row r="121" spans="1:1">
      <c r="A121" s="19" t="s">
        <v>300</v>
      </c>
    </row>
    <row r="122" spans="1:1">
      <c r="A122" s="19"/>
    </row>
    <row r="123" spans="1:1">
      <c r="A123" s="19" t="s">
        <v>301</v>
      </c>
    </row>
    <row r="127" spans="1:1" ht="18">
      <c r="A127" s="18" t="s">
        <v>302</v>
      </c>
    </row>
    <row r="129" spans="1:1">
      <c r="A129" t="s">
        <v>303</v>
      </c>
    </row>
    <row r="130" spans="1:1">
      <c r="A130" s="19"/>
    </row>
    <row r="131" spans="1:1">
      <c r="A131" s="19" t="s">
        <v>304</v>
      </c>
    </row>
    <row r="132" spans="1:1">
      <c r="A132" s="19"/>
    </row>
    <row r="133" spans="1:1">
      <c r="A133" s="19" t="s">
        <v>305</v>
      </c>
    </row>
    <row r="134" spans="1:1">
      <c r="A134" s="19"/>
    </row>
    <row r="135" spans="1:1">
      <c r="A135" s="19" t="s">
        <v>306</v>
      </c>
    </row>
    <row r="136" spans="1:1">
      <c r="A136" s="19"/>
    </row>
    <row r="137" spans="1:1">
      <c r="A137" s="20" t="s">
        <v>307</v>
      </c>
    </row>
    <row r="138" spans="1:1">
      <c r="A138" s="19" t="s">
        <v>308</v>
      </c>
    </row>
    <row r="139" spans="1:1">
      <c r="A139" s="27" t="e">
        <f>AVERAGE(B2:B4)</f>
        <v>#DIV/0!</v>
      </c>
    </row>
    <row r="143" spans="1:1" ht="18">
      <c r="A143" s="18" t="s">
        <v>309</v>
      </c>
    </row>
    <row r="145" spans="1:1">
      <c r="A145" t="s">
        <v>310</v>
      </c>
    </row>
    <row r="146" spans="1:1">
      <c r="A146" s="19"/>
    </row>
    <row r="147" spans="1:1">
      <c r="A147" s="19" t="s">
        <v>311</v>
      </c>
    </row>
    <row r="148" spans="1:1">
      <c r="A148" s="19"/>
    </row>
    <row r="149" spans="1:1">
      <c r="A149" s="19" t="s">
        <v>312</v>
      </c>
    </row>
    <row r="150" spans="1:1">
      <c r="A150" s="19"/>
    </row>
    <row r="151" spans="1:1">
      <c r="A151" s="19" t="s">
        <v>313</v>
      </c>
    </row>
    <row r="152" spans="1:1">
      <c r="A152" s="19"/>
    </row>
    <row r="153" spans="1:1">
      <c r="A153" s="19" t="s">
        <v>314</v>
      </c>
    </row>
    <row r="157" spans="1:1" ht="18">
      <c r="A157" s="18" t="s">
        <v>315</v>
      </c>
    </row>
    <row r="159" spans="1:1">
      <c r="A159" t="s">
        <v>316</v>
      </c>
    </row>
    <row r="163" spans="1:1" ht="23.4">
      <c r="A163" s="26" t="s">
        <v>317</v>
      </c>
    </row>
    <row r="164" spans="1:1">
      <c r="A164" s="19"/>
    </row>
    <row r="165" spans="1:1">
      <c r="A165" s="19" t="s">
        <v>318</v>
      </c>
    </row>
    <row r="166" spans="1:1">
      <c r="A166" s="19"/>
    </row>
    <row r="167" spans="1:1">
      <c r="A167" s="19" t="s">
        <v>319</v>
      </c>
    </row>
    <row r="168" spans="1:1">
      <c r="A168" s="19"/>
    </row>
    <row r="169" spans="1:1">
      <c r="A169" s="19" t="s">
        <v>320</v>
      </c>
    </row>
    <row r="170" spans="1:1">
      <c r="A170" s="19"/>
    </row>
    <row r="171" spans="1:1">
      <c r="A171" s="19" t="s">
        <v>321</v>
      </c>
    </row>
    <row r="172" spans="1:1">
      <c r="A172" s="19"/>
    </row>
    <row r="173" spans="1:1">
      <c r="A173" s="19" t="s">
        <v>322</v>
      </c>
    </row>
    <row r="177" spans="1:1" ht="23.4">
      <c r="A177" s="26" t="s">
        <v>323</v>
      </c>
    </row>
    <row r="178" spans="1:1">
      <c r="A178" s="19"/>
    </row>
    <row r="179" spans="1:1">
      <c r="A179" s="19" t="s">
        <v>324</v>
      </c>
    </row>
    <row r="180" spans="1:1">
      <c r="A180" s="19"/>
    </row>
    <row r="181" spans="1:1">
      <c r="A181" s="19" t="s">
        <v>325</v>
      </c>
    </row>
    <row r="182" spans="1:1">
      <c r="A182" s="19"/>
    </row>
    <row r="183" spans="1:1">
      <c r="A183" s="19" t="s">
        <v>326</v>
      </c>
    </row>
    <row r="184" spans="1:1">
      <c r="A184" s="19"/>
    </row>
    <row r="185" spans="1:1">
      <c r="A185" s="19" t="s">
        <v>327</v>
      </c>
    </row>
    <row r="186" spans="1:1">
      <c r="A186" s="19"/>
    </row>
    <row r="187" spans="1:1">
      <c r="A187" s="19" t="s">
        <v>328</v>
      </c>
    </row>
    <row r="188" spans="1:1">
      <c r="A188" s="19"/>
    </row>
    <row r="189" spans="1:1">
      <c r="A189" s="19" t="s">
        <v>329</v>
      </c>
    </row>
    <row r="193" spans="1:1" ht="31.2">
      <c r="A193" s="17" t="s">
        <v>330</v>
      </c>
    </row>
    <row r="195" spans="1:1">
      <c r="A195" t="s">
        <v>331</v>
      </c>
    </row>
    <row r="197" spans="1:1">
      <c r="A197" t="s">
        <v>332</v>
      </c>
    </row>
    <row r="198" spans="1:1">
      <c r="A198" t="s">
        <v>333</v>
      </c>
    </row>
    <row r="199" spans="1:1">
      <c r="A199" t="s">
        <v>334</v>
      </c>
    </row>
    <row r="203" spans="1:1">
      <c r="A203" t="s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zoomScale="72" workbookViewId="0">
      <selection sqref="A1:C1"/>
    </sheetView>
  </sheetViews>
  <sheetFormatPr defaultRowHeight="14.4"/>
  <cols>
    <col min="1" max="1" width="15.5546875" bestFit="1" customWidth="1"/>
    <col min="2" max="2" width="16.77734375" bestFit="1" customWidth="1"/>
    <col min="3" max="3" width="13.6640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>
        <v>0.28899999999999998</v>
      </c>
    </row>
    <row r="3" spans="1:3">
      <c r="A3" t="s">
        <v>5</v>
      </c>
      <c r="B3" t="s">
        <v>6</v>
      </c>
      <c r="C3">
        <v>0.29699999999999999</v>
      </c>
    </row>
    <row r="4" spans="1:3">
      <c r="A4" t="s">
        <v>7</v>
      </c>
      <c r="B4" t="s">
        <v>8</v>
      </c>
      <c r="C4">
        <v>0.59899999999999998</v>
      </c>
    </row>
    <row r="5" spans="1:3">
      <c r="A5" t="s">
        <v>9</v>
      </c>
      <c r="B5" t="s">
        <v>10</v>
      </c>
      <c r="C5">
        <v>0.379</v>
      </c>
    </row>
    <row r="6" spans="1:3">
      <c r="A6" t="s">
        <v>11</v>
      </c>
      <c r="B6" t="s">
        <v>12</v>
      </c>
      <c r="C6">
        <v>0.32</v>
      </c>
    </row>
    <row r="7" spans="1:3">
      <c r="A7" t="s">
        <v>13</v>
      </c>
      <c r="B7" t="s">
        <v>14</v>
      </c>
      <c r="C7">
        <v>0.129</v>
      </c>
    </row>
    <row r="8" spans="1:3">
      <c r="A8" t="s">
        <v>15</v>
      </c>
      <c r="B8" t="s">
        <v>16</v>
      </c>
      <c r="C8">
        <v>0.72699999999999998</v>
      </c>
    </row>
    <row r="9" spans="1:3">
      <c r="A9" t="s">
        <v>17</v>
      </c>
      <c r="B9" t="s">
        <v>18</v>
      </c>
      <c r="C9">
        <v>0.40200000000000002</v>
      </c>
    </row>
    <row r="10" spans="1:3">
      <c r="A10" t="s">
        <v>19</v>
      </c>
      <c r="B10" t="s">
        <v>20</v>
      </c>
      <c r="C10">
        <v>0.875</v>
      </c>
    </row>
    <row r="11" spans="1:3">
      <c r="A11" t="s">
        <v>21</v>
      </c>
      <c r="B11" t="s">
        <v>22</v>
      </c>
      <c r="C11">
        <v>0.36599999999999999</v>
      </c>
    </row>
    <row r="12" spans="1:3">
      <c r="A12" t="s">
        <v>23</v>
      </c>
      <c r="B12" t="s">
        <v>24</v>
      </c>
      <c r="C12">
        <v>0.40300000000000002</v>
      </c>
    </row>
    <row r="13" spans="1:3">
      <c r="A13" t="s">
        <v>25</v>
      </c>
      <c r="B13" t="s">
        <v>26</v>
      </c>
      <c r="C13">
        <v>0.216</v>
      </c>
    </row>
    <row r="14" spans="1:3">
      <c r="A14" t="s">
        <v>27</v>
      </c>
      <c r="B14" t="s">
        <v>28</v>
      </c>
      <c r="C14">
        <v>0.41799999999999998</v>
      </c>
    </row>
    <row r="15" spans="1:3">
      <c r="A15" t="s">
        <v>29</v>
      </c>
      <c r="B15" t="s">
        <v>30</v>
      </c>
      <c r="C15">
        <v>0.504</v>
      </c>
    </row>
    <row r="16" spans="1:3">
      <c r="A16" t="s">
        <v>31</v>
      </c>
      <c r="B16" t="s">
        <v>32</v>
      </c>
      <c r="C16">
        <v>0.55800000000000005</v>
      </c>
    </row>
    <row r="17" spans="1:3">
      <c r="A17" t="s">
        <v>33</v>
      </c>
      <c r="B17" t="s">
        <v>34</v>
      </c>
      <c r="C17">
        <v>0.193</v>
      </c>
    </row>
    <row r="18" spans="1:3">
      <c r="A18" t="s">
        <v>35</v>
      </c>
      <c r="B18" t="s">
        <v>36</v>
      </c>
      <c r="C18">
        <v>0.61</v>
      </c>
    </row>
    <row r="19" spans="1:3">
      <c r="A19" t="s">
        <v>37</v>
      </c>
      <c r="B19" t="s">
        <v>38</v>
      </c>
      <c r="C19">
        <v>0.12</v>
      </c>
    </row>
    <row r="20" spans="1:3">
      <c r="A20" t="s">
        <v>39</v>
      </c>
      <c r="B20" t="s">
        <v>40</v>
      </c>
      <c r="C20">
        <v>0.33700000000000002</v>
      </c>
    </row>
    <row r="21" spans="1:3">
      <c r="A21" t="s">
        <v>41</v>
      </c>
      <c r="B21" t="s">
        <v>42</v>
      </c>
      <c r="C21">
        <v>0.80800000000000005</v>
      </c>
    </row>
    <row r="22" spans="1:3">
      <c r="A22" t="s">
        <v>43</v>
      </c>
      <c r="B22" t="s">
        <v>44</v>
      </c>
      <c r="C22">
        <v>0.20200000000000001</v>
      </c>
    </row>
    <row r="23" spans="1:3">
      <c r="A23" t="s">
        <v>45</v>
      </c>
      <c r="B23" t="s">
        <v>46</v>
      </c>
      <c r="C23">
        <v>0.61099999999999999</v>
      </c>
    </row>
    <row r="24" spans="1:3">
      <c r="A24" t="s">
        <v>47</v>
      </c>
      <c r="B24" t="s">
        <v>48</v>
      </c>
      <c r="C24">
        <v>5.6000000000000001E-2</v>
      </c>
    </row>
    <row r="25" spans="1:3">
      <c r="A25" t="s">
        <v>49</v>
      </c>
      <c r="B25" t="s">
        <v>50</v>
      </c>
      <c r="C25">
        <v>0.11</v>
      </c>
    </row>
    <row r="26" spans="1:3">
      <c r="A26" t="s">
        <v>51</v>
      </c>
      <c r="B26" t="s">
        <v>52</v>
      </c>
      <c r="C26">
        <v>0.56499999999999995</v>
      </c>
    </row>
    <row r="27" spans="1:3">
      <c r="A27" t="s">
        <v>53</v>
      </c>
      <c r="B27" t="s">
        <v>54</v>
      </c>
      <c r="C27">
        <v>0.113</v>
      </c>
    </row>
    <row r="28" spans="1:3">
      <c r="A28" t="s">
        <v>55</v>
      </c>
      <c r="B28" t="s">
        <v>56</v>
      </c>
      <c r="C28">
        <v>0.4</v>
      </c>
    </row>
    <row r="29" spans="1:3">
      <c r="A29" t="s">
        <v>57</v>
      </c>
      <c r="B29" t="s">
        <v>58</v>
      </c>
      <c r="C29">
        <v>0.51</v>
      </c>
    </row>
    <row r="30" spans="1:3">
      <c r="A30" t="s">
        <v>59</v>
      </c>
      <c r="B30" t="s">
        <v>60</v>
      </c>
      <c r="C30">
        <v>0.84599999999999997</v>
      </c>
    </row>
    <row r="31" spans="1:3">
      <c r="A31" t="s">
        <v>61</v>
      </c>
      <c r="B31" t="s">
        <v>62</v>
      </c>
      <c r="C31">
        <v>0.61399999999999999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topLeftCell="E44" zoomScale="67" workbookViewId="0">
      <selection activeCell="H24" sqref="H24"/>
    </sheetView>
  </sheetViews>
  <sheetFormatPr defaultRowHeight="14.4"/>
  <cols>
    <col min="1" max="1" width="10.33203125" bestFit="1" customWidth="1"/>
    <col min="2" max="2" width="9.33203125" bestFit="1" customWidth="1"/>
    <col min="4" max="4" width="11.77734375" bestFit="1" customWidth="1"/>
    <col min="5" max="5" width="14.5546875" bestFit="1" customWidth="1"/>
    <col min="6" max="6" width="19.88671875" bestFit="1" customWidth="1"/>
    <col min="7" max="7" width="20.44140625" bestFit="1" customWidth="1"/>
    <col min="8" max="8" width="13.21875" bestFit="1" customWidth="1"/>
    <col min="9" max="9" width="14.109375" bestFit="1" customWidth="1"/>
    <col min="10" max="10" width="10.6640625" bestFit="1" customWidth="1"/>
    <col min="11" max="11" width="14.77734375" bestFit="1" customWidth="1"/>
    <col min="12" max="12" width="18.109375" bestFit="1" customWidth="1"/>
    <col min="13" max="13" width="12.6640625" bestFit="1" customWidth="1"/>
    <col min="14" max="14" width="12.33203125" bestFit="1" customWidth="1"/>
    <col min="15" max="15" width="16" bestFit="1" customWidth="1"/>
  </cols>
  <sheetData>
    <row r="1" spans="1:14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0</v>
      </c>
      <c r="G1" s="2" t="s">
        <v>74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3"/>
    </row>
    <row r="2" spans="1:14">
      <c r="A2" s="1">
        <v>45972</v>
      </c>
      <c r="B2" t="s">
        <v>75</v>
      </c>
      <c r="C2" t="s">
        <v>76</v>
      </c>
      <c r="D2" t="s">
        <v>77</v>
      </c>
      <c r="E2" t="s">
        <v>78</v>
      </c>
      <c r="F2" t="s">
        <v>9</v>
      </c>
      <c r="G2" t="str">
        <f>VLOOKUP(F2,ComponentsMaster!$A:$C,2,FALSE)</f>
        <v>Outsole Type 4</v>
      </c>
      <c r="H2">
        <v>497</v>
      </c>
      <c r="I2">
        <v>503</v>
      </c>
      <c r="J2">
        <f t="shared" ref="J2:J33" si="0">I2-H2</f>
        <v>6</v>
      </c>
      <c r="K2" s="4" t="str">
        <f t="shared" ref="K2:K33" si="1">IF(J2=0,"Match",IF(J2&lt;0,"Short","Over"))</f>
        <v>Over</v>
      </c>
      <c r="L2" t="s">
        <v>80</v>
      </c>
      <c r="M2" s="5" t="s">
        <v>81</v>
      </c>
    </row>
    <row r="3" spans="1:14">
      <c r="A3" s="1">
        <v>45963</v>
      </c>
      <c r="B3" t="s">
        <v>82</v>
      </c>
      <c r="C3" t="s">
        <v>76</v>
      </c>
      <c r="D3" t="s">
        <v>83</v>
      </c>
      <c r="E3" t="s">
        <v>84</v>
      </c>
      <c r="F3" t="s">
        <v>55</v>
      </c>
      <c r="G3" t="str">
        <f>VLOOKUP(F3,ComponentsMaster!$A:$C,2,FALSE)</f>
        <v>Upper Material 27</v>
      </c>
      <c r="H3">
        <v>258</v>
      </c>
      <c r="I3">
        <v>251</v>
      </c>
      <c r="J3">
        <f t="shared" si="0"/>
        <v>-7</v>
      </c>
      <c r="K3" s="4" t="str">
        <f t="shared" si="1"/>
        <v>Short</v>
      </c>
      <c r="L3" t="s">
        <v>86</v>
      </c>
      <c r="M3" s="5" t="s">
        <v>81</v>
      </c>
    </row>
    <row r="4" spans="1:14">
      <c r="A4" s="1">
        <v>45962</v>
      </c>
      <c r="B4" t="s">
        <v>82</v>
      </c>
      <c r="C4" t="s">
        <v>87</v>
      </c>
      <c r="D4" t="s">
        <v>77</v>
      </c>
      <c r="E4" t="s">
        <v>78</v>
      </c>
      <c r="F4" t="s">
        <v>17</v>
      </c>
      <c r="G4" t="str">
        <f>VLOOKUP(F4,ComponentsMaster!$A:$C,2,FALSE)</f>
        <v>Accessory 8</v>
      </c>
      <c r="H4">
        <v>367</v>
      </c>
      <c r="I4">
        <v>369</v>
      </c>
      <c r="J4">
        <f t="shared" si="0"/>
        <v>2</v>
      </c>
      <c r="K4" s="4" t="str">
        <f t="shared" si="1"/>
        <v>Over</v>
      </c>
      <c r="L4" t="s">
        <v>88</v>
      </c>
      <c r="M4" s="5" t="s">
        <v>89</v>
      </c>
    </row>
    <row r="5" spans="1:14">
      <c r="A5" s="1">
        <v>45973</v>
      </c>
      <c r="B5" t="s">
        <v>82</v>
      </c>
      <c r="C5" t="s">
        <v>76</v>
      </c>
      <c r="D5" t="s">
        <v>77</v>
      </c>
      <c r="E5" t="s">
        <v>78</v>
      </c>
      <c r="F5" t="s">
        <v>37</v>
      </c>
      <c r="G5" t="str">
        <f>VLOOKUP(F5,ComponentsMaster!$A:$C,2,FALSE)</f>
        <v>Upper Material 18</v>
      </c>
      <c r="H5">
        <v>433</v>
      </c>
      <c r="I5">
        <v>441</v>
      </c>
      <c r="J5">
        <f t="shared" si="0"/>
        <v>8</v>
      </c>
      <c r="K5" s="4" t="str">
        <f t="shared" si="1"/>
        <v>Over</v>
      </c>
      <c r="L5" t="s">
        <v>90</v>
      </c>
      <c r="M5" s="5" t="s">
        <v>81</v>
      </c>
    </row>
    <row r="6" spans="1:14">
      <c r="A6" s="1">
        <v>45966</v>
      </c>
      <c r="B6" t="s">
        <v>75</v>
      </c>
      <c r="C6" t="s">
        <v>87</v>
      </c>
      <c r="D6" t="s">
        <v>91</v>
      </c>
      <c r="E6" t="s">
        <v>92</v>
      </c>
      <c r="F6" t="s">
        <v>39</v>
      </c>
      <c r="G6" t="str">
        <f>VLOOKUP(F6,ComponentsMaster!$A:$C,2,FALSE)</f>
        <v>Outsole Type 19</v>
      </c>
      <c r="H6">
        <v>129</v>
      </c>
      <c r="I6">
        <v>125</v>
      </c>
      <c r="J6">
        <f t="shared" si="0"/>
        <v>-4</v>
      </c>
      <c r="K6" s="4" t="str">
        <f t="shared" si="1"/>
        <v>Short</v>
      </c>
      <c r="L6" t="s">
        <v>93</v>
      </c>
      <c r="M6" s="5" t="s">
        <v>89</v>
      </c>
    </row>
    <row r="7" spans="1:14">
      <c r="A7" s="1">
        <v>45965</v>
      </c>
      <c r="B7" t="s">
        <v>75</v>
      </c>
      <c r="C7" t="s">
        <v>94</v>
      </c>
      <c r="D7" t="s">
        <v>77</v>
      </c>
      <c r="E7" t="s">
        <v>78</v>
      </c>
      <c r="F7" t="s">
        <v>27</v>
      </c>
      <c r="G7" t="str">
        <f>VLOOKUP(F7,ComponentsMaster!$A:$C,2,FALSE)</f>
        <v>Outsole Type 13</v>
      </c>
      <c r="H7">
        <v>171</v>
      </c>
      <c r="I7">
        <v>169</v>
      </c>
      <c r="J7">
        <f t="shared" si="0"/>
        <v>-2</v>
      </c>
      <c r="K7" s="4" t="str">
        <f t="shared" si="1"/>
        <v>Short</v>
      </c>
      <c r="L7" t="s">
        <v>95</v>
      </c>
      <c r="M7" s="5" t="s">
        <v>89</v>
      </c>
    </row>
    <row r="8" spans="1:14">
      <c r="A8" s="1">
        <v>45965</v>
      </c>
      <c r="B8" t="s">
        <v>75</v>
      </c>
      <c r="C8" t="s">
        <v>87</v>
      </c>
      <c r="D8" t="s">
        <v>83</v>
      </c>
      <c r="E8" t="s">
        <v>84</v>
      </c>
      <c r="F8" t="s">
        <v>37</v>
      </c>
      <c r="G8" t="str">
        <f>VLOOKUP(F8,ComponentsMaster!$A:$C,2,FALSE)</f>
        <v>Upper Material 18</v>
      </c>
      <c r="H8">
        <v>492</v>
      </c>
      <c r="I8">
        <v>483</v>
      </c>
      <c r="J8">
        <f t="shared" si="0"/>
        <v>-9</v>
      </c>
      <c r="K8" s="4" t="str">
        <f t="shared" si="1"/>
        <v>Short</v>
      </c>
      <c r="L8" t="s">
        <v>96</v>
      </c>
      <c r="M8" s="5" t="s">
        <v>81</v>
      </c>
    </row>
    <row r="9" spans="1:14">
      <c r="A9" s="1">
        <v>45964</v>
      </c>
      <c r="B9" t="s">
        <v>97</v>
      </c>
      <c r="C9" t="s">
        <v>98</v>
      </c>
      <c r="D9" t="s">
        <v>91</v>
      </c>
      <c r="E9" t="s">
        <v>92</v>
      </c>
      <c r="F9" t="s">
        <v>33</v>
      </c>
      <c r="G9" t="str">
        <f>VLOOKUP(F9,ComponentsMaster!$A:$C,2,FALSE)</f>
        <v>Outsole Type 16</v>
      </c>
      <c r="H9">
        <v>133</v>
      </c>
      <c r="I9">
        <v>145</v>
      </c>
      <c r="J9">
        <f t="shared" si="0"/>
        <v>12</v>
      </c>
      <c r="K9" s="4" t="str">
        <f t="shared" si="1"/>
        <v>Over</v>
      </c>
      <c r="L9" t="s">
        <v>99</v>
      </c>
      <c r="M9" s="5" t="s">
        <v>81</v>
      </c>
    </row>
    <row r="10" spans="1:14">
      <c r="A10" s="1">
        <v>45973</v>
      </c>
      <c r="B10" t="s">
        <v>75</v>
      </c>
      <c r="C10" t="s">
        <v>98</v>
      </c>
      <c r="D10" t="s">
        <v>100</v>
      </c>
      <c r="E10" t="s">
        <v>101</v>
      </c>
      <c r="F10" t="s">
        <v>59</v>
      </c>
      <c r="G10" t="str">
        <f>VLOOKUP(F10,ComponentsMaster!$A:$C,2,FALSE)</f>
        <v>Accessory 29</v>
      </c>
      <c r="H10">
        <v>459</v>
      </c>
      <c r="I10">
        <v>462</v>
      </c>
      <c r="J10">
        <f t="shared" si="0"/>
        <v>3</v>
      </c>
      <c r="K10" s="4" t="str">
        <f t="shared" si="1"/>
        <v>Over</v>
      </c>
      <c r="L10" t="s">
        <v>102</v>
      </c>
      <c r="M10" s="5" t="s">
        <v>89</v>
      </c>
    </row>
    <row r="11" spans="1:14">
      <c r="A11" s="1">
        <v>45963</v>
      </c>
      <c r="B11" t="s">
        <v>82</v>
      </c>
      <c r="C11" t="s">
        <v>87</v>
      </c>
      <c r="D11" t="s">
        <v>83</v>
      </c>
      <c r="E11" t="s">
        <v>84</v>
      </c>
      <c r="F11" t="s">
        <v>15</v>
      </c>
      <c r="G11" t="str">
        <f>VLOOKUP(F11,ComponentsMaster!$A:$C,2,FALSE)</f>
        <v>Outsole Type 7</v>
      </c>
      <c r="H11">
        <v>465</v>
      </c>
      <c r="I11">
        <v>455</v>
      </c>
      <c r="J11">
        <f t="shared" si="0"/>
        <v>-10</v>
      </c>
      <c r="K11" s="4" t="str">
        <f t="shared" si="1"/>
        <v>Short</v>
      </c>
      <c r="L11" t="s">
        <v>103</v>
      </c>
      <c r="M11" s="5" t="s">
        <v>81</v>
      </c>
    </row>
    <row r="12" spans="1:14">
      <c r="A12" s="1">
        <v>45972</v>
      </c>
      <c r="B12" t="s">
        <v>75</v>
      </c>
      <c r="C12" t="s">
        <v>94</v>
      </c>
      <c r="D12" t="s">
        <v>83</v>
      </c>
      <c r="E12" t="s">
        <v>84</v>
      </c>
      <c r="F12" t="s">
        <v>45</v>
      </c>
      <c r="G12" t="str">
        <f>VLOOKUP(F12,ComponentsMaster!$A:$C,2,FALSE)</f>
        <v>Outsole Type 22</v>
      </c>
      <c r="H12">
        <v>140</v>
      </c>
      <c r="I12">
        <v>146</v>
      </c>
      <c r="J12">
        <f t="shared" si="0"/>
        <v>6</v>
      </c>
      <c r="K12" s="4" t="str">
        <f t="shared" si="1"/>
        <v>Over</v>
      </c>
      <c r="L12" t="s">
        <v>104</v>
      </c>
      <c r="M12" s="5" t="s">
        <v>81</v>
      </c>
    </row>
    <row r="13" spans="1:14">
      <c r="A13" s="1">
        <v>45973</v>
      </c>
      <c r="B13" t="s">
        <v>75</v>
      </c>
      <c r="C13" t="s">
        <v>94</v>
      </c>
      <c r="D13" t="s">
        <v>100</v>
      </c>
      <c r="E13" t="s">
        <v>101</v>
      </c>
      <c r="F13" t="s">
        <v>17</v>
      </c>
      <c r="G13" t="str">
        <f>VLOOKUP(F13,ComponentsMaster!$A:$C,2,FALSE)</f>
        <v>Accessory 8</v>
      </c>
      <c r="H13">
        <v>261</v>
      </c>
      <c r="I13">
        <v>268</v>
      </c>
      <c r="J13">
        <f t="shared" si="0"/>
        <v>7</v>
      </c>
      <c r="K13" s="4" t="str">
        <f t="shared" si="1"/>
        <v>Over</v>
      </c>
      <c r="L13" t="s">
        <v>105</v>
      </c>
      <c r="M13" s="5" t="s">
        <v>81</v>
      </c>
    </row>
    <row r="14" spans="1:14">
      <c r="A14" s="1">
        <v>45970</v>
      </c>
      <c r="B14" t="s">
        <v>82</v>
      </c>
      <c r="C14" t="s">
        <v>98</v>
      </c>
      <c r="D14" t="s">
        <v>83</v>
      </c>
      <c r="E14" t="s">
        <v>84</v>
      </c>
      <c r="F14" t="s">
        <v>25</v>
      </c>
      <c r="G14" t="str">
        <f>VLOOKUP(F14,ComponentsMaster!$A:$C,2,FALSE)</f>
        <v>Upper Material 12</v>
      </c>
      <c r="H14">
        <v>62</v>
      </c>
      <c r="I14">
        <v>73</v>
      </c>
      <c r="J14">
        <f t="shared" si="0"/>
        <v>11</v>
      </c>
      <c r="K14" s="4" t="str">
        <f t="shared" si="1"/>
        <v>Over</v>
      </c>
      <c r="L14" t="s">
        <v>106</v>
      </c>
      <c r="M14" s="5" t="s">
        <v>81</v>
      </c>
    </row>
    <row r="15" spans="1:14">
      <c r="A15" s="1">
        <v>45963</v>
      </c>
      <c r="B15" t="s">
        <v>97</v>
      </c>
      <c r="C15" t="s">
        <v>94</v>
      </c>
      <c r="D15" t="s">
        <v>100</v>
      </c>
      <c r="E15" t="s">
        <v>101</v>
      </c>
      <c r="F15" t="s">
        <v>43</v>
      </c>
      <c r="G15" t="str">
        <f>VLOOKUP(F15,ComponentsMaster!$A:$C,2,FALSE)</f>
        <v>Upper Material 21</v>
      </c>
      <c r="H15">
        <v>141</v>
      </c>
      <c r="I15">
        <v>152</v>
      </c>
      <c r="J15">
        <f t="shared" si="0"/>
        <v>11</v>
      </c>
      <c r="K15" s="4" t="str">
        <f t="shared" si="1"/>
        <v>Over</v>
      </c>
      <c r="L15" t="s">
        <v>107</v>
      </c>
      <c r="M15" s="5" t="s">
        <v>81</v>
      </c>
    </row>
    <row r="16" spans="1:14">
      <c r="A16" s="1">
        <v>45971</v>
      </c>
      <c r="B16" t="s">
        <v>75</v>
      </c>
      <c r="C16" t="s">
        <v>76</v>
      </c>
      <c r="D16" t="s">
        <v>100</v>
      </c>
      <c r="E16" t="s">
        <v>101</v>
      </c>
      <c r="F16" t="s">
        <v>19</v>
      </c>
      <c r="G16" t="str">
        <f>VLOOKUP(F16,ComponentsMaster!$A:$C,2,FALSE)</f>
        <v>Upper Material 9</v>
      </c>
      <c r="H16">
        <v>427</v>
      </c>
      <c r="I16">
        <v>423</v>
      </c>
      <c r="J16">
        <f t="shared" si="0"/>
        <v>-4</v>
      </c>
      <c r="K16" s="4" t="str">
        <f t="shared" si="1"/>
        <v>Short</v>
      </c>
      <c r="L16" t="s">
        <v>108</v>
      </c>
      <c r="M16" s="5" t="s">
        <v>89</v>
      </c>
    </row>
    <row r="17" spans="1:13">
      <c r="A17" s="1">
        <v>45968</v>
      </c>
      <c r="B17" t="s">
        <v>97</v>
      </c>
      <c r="C17" t="s">
        <v>109</v>
      </c>
      <c r="D17" t="s">
        <v>83</v>
      </c>
      <c r="E17" t="s">
        <v>84</v>
      </c>
      <c r="F17" t="s">
        <v>21</v>
      </c>
      <c r="G17" t="str">
        <f>VLOOKUP(F17,ComponentsMaster!$A:$C,2,FALSE)</f>
        <v>Outsole Type 10</v>
      </c>
      <c r="H17">
        <v>220</v>
      </c>
      <c r="I17">
        <v>221</v>
      </c>
      <c r="J17">
        <f t="shared" si="0"/>
        <v>1</v>
      </c>
      <c r="K17" s="4" t="str">
        <f t="shared" si="1"/>
        <v>Over</v>
      </c>
      <c r="L17" t="s">
        <v>110</v>
      </c>
      <c r="M17" s="5" t="s">
        <v>89</v>
      </c>
    </row>
    <row r="18" spans="1:13">
      <c r="A18" s="1">
        <v>45962</v>
      </c>
      <c r="B18" t="s">
        <v>97</v>
      </c>
      <c r="C18" t="s">
        <v>76</v>
      </c>
      <c r="D18" t="s">
        <v>77</v>
      </c>
      <c r="E18" t="s">
        <v>78</v>
      </c>
      <c r="F18" t="s">
        <v>47</v>
      </c>
      <c r="G18" t="str">
        <f>VLOOKUP(F18,ComponentsMaster!$A:$C,2,FALSE)</f>
        <v>Accessory 23</v>
      </c>
      <c r="H18">
        <v>450</v>
      </c>
      <c r="I18">
        <v>453</v>
      </c>
      <c r="J18">
        <f t="shared" si="0"/>
        <v>3</v>
      </c>
      <c r="K18" s="4" t="str">
        <f t="shared" si="1"/>
        <v>Over</v>
      </c>
      <c r="L18" t="s">
        <v>111</v>
      </c>
      <c r="M18" s="5" t="s">
        <v>89</v>
      </c>
    </row>
    <row r="19" spans="1:13">
      <c r="A19" s="1">
        <v>45962</v>
      </c>
      <c r="B19" t="s">
        <v>97</v>
      </c>
      <c r="C19" t="s">
        <v>98</v>
      </c>
      <c r="D19" t="s">
        <v>77</v>
      </c>
      <c r="E19" t="s">
        <v>78</v>
      </c>
      <c r="F19" t="s">
        <v>7</v>
      </c>
      <c r="G19" t="str">
        <f>VLOOKUP(F19,ComponentsMaster!$A:$C,2,FALSE)</f>
        <v>Upper Material 3</v>
      </c>
      <c r="H19">
        <v>260</v>
      </c>
      <c r="I19">
        <v>252</v>
      </c>
      <c r="J19">
        <f t="shared" si="0"/>
        <v>-8</v>
      </c>
      <c r="K19" s="4" t="str">
        <f t="shared" si="1"/>
        <v>Short</v>
      </c>
      <c r="L19" t="s">
        <v>112</v>
      </c>
      <c r="M19" s="5" t="s">
        <v>81</v>
      </c>
    </row>
    <row r="20" spans="1:13">
      <c r="A20" s="1">
        <v>45963</v>
      </c>
      <c r="B20" t="s">
        <v>82</v>
      </c>
      <c r="C20" t="s">
        <v>94</v>
      </c>
      <c r="D20" t="s">
        <v>100</v>
      </c>
      <c r="E20" t="s">
        <v>101</v>
      </c>
      <c r="F20" t="s">
        <v>29</v>
      </c>
      <c r="G20" t="str">
        <f>VLOOKUP(F20,ComponentsMaster!$A:$C,2,FALSE)</f>
        <v>Accessory 14</v>
      </c>
      <c r="H20">
        <v>460</v>
      </c>
      <c r="I20">
        <v>471</v>
      </c>
      <c r="J20">
        <f t="shared" si="0"/>
        <v>11</v>
      </c>
      <c r="K20" s="4" t="str">
        <f t="shared" si="1"/>
        <v>Over</v>
      </c>
      <c r="L20" t="s">
        <v>113</v>
      </c>
      <c r="M20" s="5" t="s">
        <v>81</v>
      </c>
    </row>
    <row r="21" spans="1:13">
      <c r="A21" s="1">
        <v>45965</v>
      </c>
      <c r="B21" t="s">
        <v>97</v>
      </c>
      <c r="C21" t="s">
        <v>87</v>
      </c>
      <c r="D21" t="s">
        <v>91</v>
      </c>
      <c r="E21" t="s">
        <v>92</v>
      </c>
      <c r="F21" t="s">
        <v>61</v>
      </c>
      <c r="G21" t="str">
        <f>VLOOKUP(F21,ComponentsMaster!$A:$C,2,FALSE)</f>
        <v>Upper Material 30</v>
      </c>
      <c r="H21">
        <v>392</v>
      </c>
      <c r="I21">
        <v>392</v>
      </c>
      <c r="J21">
        <f t="shared" si="0"/>
        <v>0</v>
      </c>
      <c r="K21" s="4" t="str">
        <f t="shared" si="1"/>
        <v>Match</v>
      </c>
      <c r="L21" t="s">
        <v>115</v>
      </c>
      <c r="M21" s="5" t="s">
        <v>89</v>
      </c>
    </row>
    <row r="22" spans="1:13">
      <c r="A22" s="1">
        <v>45965</v>
      </c>
      <c r="B22" t="s">
        <v>97</v>
      </c>
      <c r="C22" t="s">
        <v>109</v>
      </c>
      <c r="D22" t="s">
        <v>100</v>
      </c>
      <c r="E22" t="s">
        <v>101</v>
      </c>
      <c r="F22" t="s">
        <v>61</v>
      </c>
      <c r="G22" t="str">
        <f>VLOOKUP(F22,ComponentsMaster!$A:$C,2,FALSE)</f>
        <v>Upper Material 30</v>
      </c>
      <c r="H22">
        <v>492</v>
      </c>
      <c r="I22">
        <v>501</v>
      </c>
      <c r="J22">
        <f t="shared" si="0"/>
        <v>9</v>
      </c>
      <c r="K22" s="4" t="str">
        <f t="shared" si="1"/>
        <v>Over</v>
      </c>
      <c r="L22" t="s">
        <v>116</v>
      </c>
      <c r="M22" s="5" t="s">
        <v>81</v>
      </c>
    </row>
    <row r="23" spans="1:13">
      <c r="A23" s="1">
        <v>45970</v>
      </c>
      <c r="B23" t="s">
        <v>82</v>
      </c>
      <c r="C23" t="s">
        <v>87</v>
      </c>
      <c r="D23" t="s">
        <v>100</v>
      </c>
      <c r="E23" t="s">
        <v>101</v>
      </c>
      <c r="F23" t="s">
        <v>7</v>
      </c>
      <c r="G23" t="str">
        <f>VLOOKUP(F23,ComponentsMaster!$A:$C,2,FALSE)</f>
        <v>Upper Material 3</v>
      </c>
      <c r="H23">
        <v>426</v>
      </c>
      <c r="I23">
        <v>426</v>
      </c>
      <c r="J23">
        <f t="shared" si="0"/>
        <v>0</v>
      </c>
      <c r="K23" s="4" t="str">
        <f t="shared" si="1"/>
        <v>Match</v>
      </c>
      <c r="L23" t="s">
        <v>117</v>
      </c>
      <c r="M23" s="5" t="s">
        <v>89</v>
      </c>
    </row>
    <row r="24" spans="1:13">
      <c r="A24" s="1">
        <v>45971</v>
      </c>
      <c r="B24" t="s">
        <v>97</v>
      </c>
      <c r="C24" t="s">
        <v>98</v>
      </c>
      <c r="D24" t="s">
        <v>100</v>
      </c>
      <c r="E24" t="s">
        <v>101</v>
      </c>
      <c r="F24" t="s">
        <v>15</v>
      </c>
      <c r="G24" t="str">
        <f>VLOOKUP(F24,ComponentsMaster!$A:$C,2,FALSE)</f>
        <v>Outsole Type 7</v>
      </c>
      <c r="H24">
        <v>465</v>
      </c>
      <c r="I24">
        <v>476</v>
      </c>
      <c r="J24">
        <f t="shared" si="0"/>
        <v>11</v>
      </c>
      <c r="K24" s="4" t="str">
        <f t="shared" si="1"/>
        <v>Over</v>
      </c>
      <c r="L24" t="s">
        <v>118</v>
      </c>
      <c r="M24" s="5" t="s">
        <v>81</v>
      </c>
    </row>
    <row r="25" spans="1:13">
      <c r="A25" s="1">
        <v>45962</v>
      </c>
      <c r="B25" t="s">
        <v>97</v>
      </c>
      <c r="C25" t="s">
        <v>94</v>
      </c>
      <c r="D25" t="s">
        <v>77</v>
      </c>
      <c r="E25" t="s">
        <v>78</v>
      </c>
      <c r="F25" t="s">
        <v>17</v>
      </c>
      <c r="G25" t="str">
        <f>VLOOKUP(F25,ComponentsMaster!$A:$C,2,FALSE)</f>
        <v>Accessory 8</v>
      </c>
      <c r="H25">
        <v>177</v>
      </c>
      <c r="I25">
        <v>170</v>
      </c>
      <c r="J25">
        <f t="shared" si="0"/>
        <v>-7</v>
      </c>
      <c r="K25" s="4" t="str">
        <f t="shared" si="1"/>
        <v>Short</v>
      </c>
      <c r="L25" t="s">
        <v>119</v>
      </c>
      <c r="M25" s="5" t="s">
        <v>81</v>
      </c>
    </row>
    <row r="26" spans="1:13">
      <c r="A26" s="1">
        <v>45970</v>
      </c>
      <c r="B26" t="s">
        <v>82</v>
      </c>
      <c r="C26" t="s">
        <v>87</v>
      </c>
      <c r="D26" t="s">
        <v>77</v>
      </c>
      <c r="E26" t="s">
        <v>78</v>
      </c>
      <c r="F26" t="s">
        <v>57</v>
      </c>
      <c r="G26" t="str">
        <f>VLOOKUP(F26,ComponentsMaster!$A:$C,2,FALSE)</f>
        <v>Outsole Type 28</v>
      </c>
      <c r="H26">
        <v>186</v>
      </c>
      <c r="I26">
        <v>185</v>
      </c>
      <c r="J26">
        <f t="shared" si="0"/>
        <v>-1</v>
      </c>
      <c r="K26" s="4" t="str">
        <f t="shared" si="1"/>
        <v>Short</v>
      </c>
      <c r="L26" t="s">
        <v>120</v>
      </c>
      <c r="M26" s="5" t="s">
        <v>89</v>
      </c>
    </row>
    <row r="27" spans="1:13">
      <c r="A27" s="1">
        <v>45965</v>
      </c>
      <c r="B27" t="s">
        <v>82</v>
      </c>
      <c r="C27" t="s">
        <v>87</v>
      </c>
      <c r="D27" t="s">
        <v>77</v>
      </c>
      <c r="E27" t="s">
        <v>78</v>
      </c>
      <c r="F27" t="s">
        <v>55</v>
      </c>
      <c r="G27" t="str">
        <f>VLOOKUP(F27,ComponentsMaster!$A:$C,2,FALSE)</f>
        <v>Upper Material 27</v>
      </c>
      <c r="H27">
        <v>131</v>
      </c>
      <c r="I27">
        <v>137</v>
      </c>
      <c r="J27">
        <f t="shared" si="0"/>
        <v>6</v>
      </c>
      <c r="K27" s="4" t="str">
        <f t="shared" si="1"/>
        <v>Over</v>
      </c>
      <c r="L27" t="s">
        <v>121</v>
      </c>
      <c r="M27" s="5" t="s">
        <v>81</v>
      </c>
    </row>
    <row r="28" spans="1:13">
      <c r="A28" s="1">
        <v>45973</v>
      </c>
      <c r="B28" t="s">
        <v>75</v>
      </c>
      <c r="C28" t="s">
        <v>109</v>
      </c>
      <c r="D28" t="s">
        <v>100</v>
      </c>
      <c r="E28" t="s">
        <v>101</v>
      </c>
      <c r="F28" t="s">
        <v>55</v>
      </c>
      <c r="G28" t="str">
        <f>VLOOKUP(F28,ComponentsMaster!$A:$C,2,FALSE)</f>
        <v>Upper Material 27</v>
      </c>
      <c r="H28">
        <v>453</v>
      </c>
      <c r="I28">
        <v>452</v>
      </c>
      <c r="J28">
        <f t="shared" si="0"/>
        <v>-1</v>
      </c>
      <c r="K28" s="4" t="str">
        <f t="shared" si="1"/>
        <v>Short</v>
      </c>
      <c r="L28" t="s">
        <v>122</v>
      </c>
      <c r="M28" s="5" t="s">
        <v>89</v>
      </c>
    </row>
    <row r="29" spans="1:13">
      <c r="A29" s="1">
        <v>45972</v>
      </c>
      <c r="B29" t="s">
        <v>75</v>
      </c>
      <c r="C29" t="s">
        <v>109</v>
      </c>
      <c r="D29" t="s">
        <v>91</v>
      </c>
      <c r="E29" t="s">
        <v>92</v>
      </c>
      <c r="F29" t="s">
        <v>25</v>
      </c>
      <c r="G29" t="str">
        <f>VLOOKUP(F29,ComponentsMaster!$A:$C,2,FALSE)</f>
        <v>Upper Material 12</v>
      </c>
      <c r="H29">
        <v>409</v>
      </c>
      <c r="I29">
        <v>420</v>
      </c>
      <c r="J29">
        <f t="shared" si="0"/>
        <v>11</v>
      </c>
      <c r="K29" s="4" t="str">
        <f t="shared" si="1"/>
        <v>Over</v>
      </c>
      <c r="L29" t="s">
        <v>123</v>
      </c>
      <c r="M29" s="5" t="s">
        <v>81</v>
      </c>
    </row>
    <row r="30" spans="1:13">
      <c r="A30" s="1">
        <v>45973</v>
      </c>
      <c r="B30" t="s">
        <v>75</v>
      </c>
      <c r="C30" t="s">
        <v>94</v>
      </c>
      <c r="D30" t="s">
        <v>77</v>
      </c>
      <c r="E30" t="s">
        <v>78</v>
      </c>
      <c r="F30" t="s">
        <v>11</v>
      </c>
      <c r="G30" t="str">
        <f>VLOOKUP(F30,ComponentsMaster!$A:$C,2,FALSE)</f>
        <v>Accessory 5</v>
      </c>
      <c r="H30">
        <v>105</v>
      </c>
      <c r="I30">
        <v>108</v>
      </c>
      <c r="J30">
        <f t="shared" si="0"/>
        <v>3</v>
      </c>
      <c r="K30" s="4" t="str">
        <f t="shared" si="1"/>
        <v>Over</v>
      </c>
      <c r="L30" t="s">
        <v>124</v>
      </c>
      <c r="M30" s="5" t="s">
        <v>89</v>
      </c>
    </row>
    <row r="31" spans="1:13">
      <c r="A31" s="1">
        <v>45970</v>
      </c>
      <c r="B31" t="s">
        <v>97</v>
      </c>
      <c r="C31" t="s">
        <v>109</v>
      </c>
      <c r="D31" t="s">
        <v>83</v>
      </c>
      <c r="E31" t="s">
        <v>84</v>
      </c>
      <c r="F31" t="s">
        <v>53</v>
      </c>
      <c r="G31" t="str">
        <f>VLOOKUP(F31,ComponentsMaster!$A:$C,2,FALSE)</f>
        <v>Accessory 26</v>
      </c>
      <c r="H31">
        <v>245</v>
      </c>
      <c r="I31">
        <v>245</v>
      </c>
      <c r="J31">
        <f t="shared" si="0"/>
        <v>0</v>
      </c>
      <c r="K31" s="4" t="str">
        <f t="shared" si="1"/>
        <v>Match</v>
      </c>
      <c r="L31" t="s">
        <v>125</v>
      </c>
      <c r="M31" s="5" t="s">
        <v>89</v>
      </c>
    </row>
    <row r="32" spans="1:13">
      <c r="A32" s="1">
        <v>45968</v>
      </c>
      <c r="B32" t="s">
        <v>97</v>
      </c>
      <c r="C32" t="s">
        <v>87</v>
      </c>
      <c r="D32" t="s">
        <v>83</v>
      </c>
      <c r="E32" t="s">
        <v>84</v>
      </c>
      <c r="F32" t="s">
        <v>45</v>
      </c>
      <c r="G32" t="str">
        <f>VLOOKUP(F32,ComponentsMaster!$A:$C,2,FALSE)</f>
        <v>Outsole Type 22</v>
      </c>
      <c r="H32">
        <v>496</v>
      </c>
      <c r="I32">
        <v>498</v>
      </c>
      <c r="J32">
        <f t="shared" si="0"/>
        <v>2</v>
      </c>
      <c r="K32" s="4" t="str">
        <f t="shared" si="1"/>
        <v>Over</v>
      </c>
      <c r="L32" t="s">
        <v>126</v>
      </c>
      <c r="M32" s="5" t="s">
        <v>89</v>
      </c>
    </row>
    <row r="33" spans="1:13">
      <c r="A33" s="1">
        <v>45965</v>
      </c>
      <c r="B33" t="s">
        <v>97</v>
      </c>
      <c r="C33" t="s">
        <v>87</v>
      </c>
      <c r="D33" t="s">
        <v>83</v>
      </c>
      <c r="E33" t="s">
        <v>84</v>
      </c>
      <c r="F33" t="s">
        <v>39</v>
      </c>
      <c r="G33" t="str">
        <f>VLOOKUP(F33,ComponentsMaster!$A:$C,2,FALSE)</f>
        <v>Outsole Type 19</v>
      </c>
      <c r="H33">
        <v>69</v>
      </c>
      <c r="I33">
        <v>81</v>
      </c>
      <c r="J33">
        <f t="shared" si="0"/>
        <v>12</v>
      </c>
      <c r="K33" s="4" t="str">
        <f t="shared" si="1"/>
        <v>Over</v>
      </c>
      <c r="L33" t="s">
        <v>127</v>
      </c>
      <c r="M33" s="5" t="s">
        <v>81</v>
      </c>
    </row>
    <row r="34" spans="1:13">
      <c r="A34" s="1">
        <v>45969</v>
      </c>
      <c r="B34" t="s">
        <v>82</v>
      </c>
      <c r="C34" t="s">
        <v>98</v>
      </c>
      <c r="D34" t="s">
        <v>100</v>
      </c>
      <c r="E34" t="s">
        <v>101</v>
      </c>
      <c r="F34" t="s">
        <v>61</v>
      </c>
      <c r="G34" t="str">
        <f>VLOOKUP(F34,ComponentsMaster!$A:$C,2,FALSE)</f>
        <v>Upper Material 30</v>
      </c>
      <c r="H34">
        <v>489</v>
      </c>
      <c r="I34">
        <v>488</v>
      </c>
      <c r="J34">
        <f t="shared" ref="J34:J65" si="2">I34-H34</f>
        <v>-1</v>
      </c>
      <c r="K34" s="4" t="str">
        <f t="shared" ref="K34:K65" si="3">IF(J34=0,"Match",IF(J34&lt;0,"Short","Over"))</f>
        <v>Short</v>
      </c>
      <c r="L34" t="s">
        <v>128</v>
      </c>
      <c r="M34" s="5" t="s">
        <v>89</v>
      </c>
    </row>
    <row r="35" spans="1:13">
      <c r="A35" s="1">
        <v>45971</v>
      </c>
      <c r="B35" t="s">
        <v>97</v>
      </c>
      <c r="C35" t="s">
        <v>87</v>
      </c>
      <c r="D35" t="s">
        <v>83</v>
      </c>
      <c r="E35" t="s">
        <v>84</v>
      </c>
      <c r="F35" t="s">
        <v>41</v>
      </c>
      <c r="G35" t="str">
        <f>VLOOKUP(F35,ComponentsMaster!$A:$C,2,FALSE)</f>
        <v>Accessory 20</v>
      </c>
      <c r="H35">
        <v>290</v>
      </c>
      <c r="I35">
        <v>297</v>
      </c>
      <c r="J35">
        <f t="shared" si="2"/>
        <v>7</v>
      </c>
      <c r="K35" s="4" t="str">
        <f t="shared" si="3"/>
        <v>Over</v>
      </c>
      <c r="L35" t="s">
        <v>129</v>
      </c>
      <c r="M35" s="5" t="s">
        <v>81</v>
      </c>
    </row>
    <row r="36" spans="1:13">
      <c r="A36" s="1">
        <v>45966</v>
      </c>
      <c r="B36" t="s">
        <v>75</v>
      </c>
      <c r="C36" t="s">
        <v>94</v>
      </c>
      <c r="D36" t="s">
        <v>100</v>
      </c>
      <c r="E36" t="s">
        <v>101</v>
      </c>
      <c r="F36" t="s">
        <v>3</v>
      </c>
      <c r="G36" t="str">
        <f>VLOOKUP(F36,ComponentsMaster!$A:$C,2,FALSE)</f>
        <v>Outsole Type 1</v>
      </c>
      <c r="H36">
        <v>163</v>
      </c>
      <c r="I36">
        <v>157</v>
      </c>
      <c r="J36">
        <f t="shared" si="2"/>
        <v>-6</v>
      </c>
      <c r="K36" s="4" t="str">
        <f t="shared" si="3"/>
        <v>Short</v>
      </c>
      <c r="L36" t="s">
        <v>130</v>
      </c>
      <c r="M36" s="5" t="s">
        <v>81</v>
      </c>
    </row>
    <row r="37" spans="1:13">
      <c r="A37" s="1">
        <v>45974</v>
      </c>
      <c r="B37" t="s">
        <v>82</v>
      </c>
      <c r="C37" t="s">
        <v>76</v>
      </c>
      <c r="D37" t="s">
        <v>83</v>
      </c>
      <c r="E37" t="s">
        <v>84</v>
      </c>
      <c r="F37" t="s">
        <v>51</v>
      </c>
      <c r="G37" t="str">
        <f>VLOOKUP(F37,ComponentsMaster!$A:$C,2,FALSE)</f>
        <v>Outsole Type 25</v>
      </c>
      <c r="H37">
        <v>152</v>
      </c>
      <c r="I37">
        <v>148</v>
      </c>
      <c r="J37">
        <f t="shared" si="2"/>
        <v>-4</v>
      </c>
      <c r="K37" s="4" t="str">
        <f t="shared" si="3"/>
        <v>Short</v>
      </c>
      <c r="L37" t="s">
        <v>131</v>
      </c>
      <c r="M37" s="5" t="s">
        <v>89</v>
      </c>
    </row>
    <row r="38" spans="1:13">
      <c r="A38" s="1">
        <v>45975</v>
      </c>
      <c r="B38" t="s">
        <v>82</v>
      </c>
      <c r="C38" t="s">
        <v>98</v>
      </c>
      <c r="D38" t="s">
        <v>91</v>
      </c>
      <c r="E38" t="s">
        <v>92</v>
      </c>
      <c r="F38" t="s">
        <v>19</v>
      </c>
      <c r="G38" t="str">
        <f>VLOOKUP(F38,ComponentsMaster!$A:$C,2,FALSE)</f>
        <v>Upper Material 9</v>
      </c>
      <c r="H38">
        <v>468</v>
      </c>
      <c r="I38">
        <v>471</v>
      </c>
      <c r="J38">
        <f t="shared" si="2"/>
        <v>3</v>
      </c>
      <c r="K38" s="4" t="str">
        <f t="shared" si="3"/>
        <v>Over</v>
      </c>
      <c r="L38" t="s">
        <v>132</v>
      </c>
      <c r="M38" s="5" t="s">
        <v>89</v>
      </c>
    </row>
    <row r="39" spans="1:13">
      <c r="A39" s="1">
        <v>45962</v>
      </c>
      <c r="B39" t="s">
        <v>82</v>
      </c>
      <c r="C39" t="s">
        <v>98</v>
      </c>
      <c r="D39" t="s">
        <v>100</v>
      </c>
      <c r="E39" t="s">
        <v>101</v>
      </c>
      <c r="F39" t="s">
        <v>41</v>
      </c>
      <c r="G39" t="str">
        <f>VLOOKUP(F39,ComponentsMaster!$A:$C,2,FALSE)</f>
        <v>Accessory 20</v>
      </c>
      <c r="H39">
        <v>285</v>
      </c>
      <c r="I39">
        <v>296</v>
      </c>
      <c r="J39">
        <f t="shared" si="2"/>
        <v>11</v>
      </c>
      <c r="K39" s="4" t="str">
        <f t="shared" si="3"/>
        <v>Over</v>
      </c>
      <c r="L39" t="s">
        <v>133</v>
      </c>
      <c r="M39" s="5" t="s">
        <v>81</v>
      </c>
    </row>
    <row r="40" spans="1:13">
      <c r="A40" s="1">
        <v>45974</v>
      </c>
      <c r="B40" t="s">
        <v>75</v>
      </c>
      <c r="C40" t="s">
        <v>94</v>
      </c>
      <c r="D40" t="s">
        <v>83</v>
      </c>
      <c r="E40" t="s">
        <v>84</v>
      </c>
      <c r="F40" t="s">
        <v>59</v>
      </c>
      <c r="G40" t="str">
        <f>VLOOKUP(F40,ComponentsMaster!$A:$C,2,FALSE)</f>
        <v>Accessory 29</v>
      </c>
      <c r="H40">
        <v>229</v>
      </c>
      <c r="I40">
        <v>231</v>
      </c>
      <c r="J40">
        <f t="shared" si="2"/>
        <v>2</v>
      </c>
      <c r="K40" s="4" t="str">
        <f t="shared" si="3"/>
        <v>Over</v>
      </c>
      <c r="L40" t="s">
        <v>134</v>
      </c>
      <c r="M40" s="5" t="s">
        <v>89</v>
      </c>
    </row>
    <row r="41" spans="1:13">
      <c r="A41" s="1">
        <v>45974</v>
      </c>
      <c r="B41" t="s">
        <v>75</v>
      </c>
      <c r="C41" t="s">
        <v>94</v>
      </c>
      <c r="D41" t="s">
        <v>77</v>
      </c>
      <c r="E41" t="s">
        <v>78</v>
      </c>
      <c r="F41" t="s">
        <v>11</v>
      </c>
      <c r="G41" t="str">
        <f>VLOOKUP(F41,ComponentsMaster!$A:$C,2,FALSE)</f>
        <v>Accessory 5</v>
      </c>
      <c r="H41">
        <v>206</v>
      </c>
      <c r="I41">
        <v>217</v>
      </c>
      <c r="J41">
        <f t="shared" si="2"/>
        <v>11</v>
      </c>
      <c r="K41" s="4" t="str">
        <f t="shared" si="3"/>
        <v>Over</v>
      </c>
      <c r="L41" t="s">
        <v>135</v>
      </c>
      <c r="M41" s="5" t="s">
        <v>81</v>
      </c>
    </row>
    <row r="42" spans="1:13">
      <c r="A42" s="1">
        <v>45964</v>
      </c>
      <c r="B42" t="s">
        <v>75</v>
      </c>
      <c r="C42" t="s">
        <v>109</v>
      </c>
      <c r="D42" t="s">
        <v>100</v>
      </c>
      <c r="E42" t="s">
        <v>101</v>
      </c>
      <c r="F42" t="s">
        <v>9</v>
      </c>
      <c r="G42" t="str">
        <f>VLOOKUP(F42,ComponentsMaster!$A:$C,2,FALSE)</f>
        <v>Outsole Type 4</v>
      </c>
      <c r="H42">
        <v>470</v>
      </c>
      <c r="I42">
        <v>465</v>
      </c>
      <c r="J42">
        <f t="shared" si="2"/>
        <v>-5</v>
      </c>
      <c r="K42" s="4" t="str">
        <f t="shared" si="3"/>
        <v>Short</v>
      </c>
      <c r="L42" t="s">
        <v>136</v>
      </c>
      <c r="M42" s="5" t="s">
        <v>89</v>
      </c>
    </row>
    <row r="43" spans="1:13">
      <c r="A43" s="1">
        <v>45973</v>
      </c>
      <c r="B43" t="s">
        <v>82</v>
      </c>
      <c r="C43" t="s">
        <v>98</v>
      </c>
      <c r="D43" t="s">
        <v>77</v>
      </c>
      <c r="E43" t="s">
        <v>78</v>
      </c>
      <c r="F43" t="s">
        <v>9</v>
      </c>
      <c r="G43" t="str">
        <f>VLOOKUP(F43,ComponentsMaster!$A:$C,2,FALSE)</f>
        <v>Outsole Type 4</v>
      </c>
      <c r="H43">
        <v>457</v>
      </c>
      <c r="I43">
        <v>466</v>
      </c>
      <c r="J43">
        <f t="shared" si="2"/>
        <v>9</v>
      </c>
      <c r="K43" s="4" t="str">
        <f t="shared" si="3"/>
        <v>Over</v>
      </c>
      <c r="L43" t="s">
        <v>137</v>
      </c>
      <c r="M43" s="5" t="s">
        <v>81</v>
      </c>
    </row>
    <row r="44" spans="1:13">
      <c r="A44" s="1">
        <v>45968</v>
      </c>
      <c r="B44" t="s">
        <v>82</v>
      </c>
      <c r="C44" t="s">
        <v>109</v>
      </c>
      <c r="D44" t="s">
        <v>77</v>
      </c>
      <c r="E44" t="s">
        <v>78</v>
      </c>
      <c r="F44" t="s">
        <v>35</v>
      </c>
      <c r="G44" t="str">
        <f>VLOOKUP(F44,ComponentsMaster!$A:$C,2,FALSE)</f>
        <v>Accessory 17</v>
      </c>
      <c r="H44">
        <v>496</v>
      </c>
      <c r="I44">
        <v>504</v>
      </c>
      <c r="J44">
        <f t="shared" si="2"/>
        <v>8</v>
      </c>
      <c r="K44" s="4" t="str">
        <f t="shared" si="3"/>
        <v>Over</v>
      </c>
      <c r="L44" t="s">
        <v>138</v>
      </c>
      <c r="M44" s="5" t="s">
        <v>81</v>
      </c>
    </row>
    <row r="45" spans="1:13">
      <c r="A45" s="1">
        <v>45967</v>
      </c>
      <c r="B45" t="s">
        <v>97</v>
      </c>
      <c r="C45" t="s">
        <v>87</v>
      </c>
      <c r="D45" t="s">
        <v>77</v>
      </c>
      <c r="E45" t="s">
        <v>78</v>
      </c>
      <c r="F45" t="s">
        <v>19</v>
      </c>
      <c r="G45" t="str">
        <f>VLOOKUP(F45,ComponentsMaster!$A:$C,2,FALSE)</f>
        <v>Upper Material 9</v>
      </c>
      <c r="H45">
        <v>166</v>
      </c>
      <c r="I45">
        <v>165</v>
      </c>
      <c r="J45">
        <f t="shared" si="2"/>
        <v>-1</v>
      </c>
      <c r="K45" s="4" t="str">
        <f t="shared" si="3"/>
        <v>Short</v>
      </c>
      <c r="L45" t="s">
        <v>139</v>
      </c>
      <c r="M45" s="5" t="s">
        <v>89</v>
      </c>
    </row>
    <row r="46" spans="1:13">
      <c r="A46" s="1">
        <v>45966</v>
      </c>
      <c r="B46" t="s">
        <v>97</v>
      </c>
      <c r="C46" t="s">
        <v>98</v>
      </c>
      <c r="D46" t="s">
        <v>77</v>
      </c>
      <c r="E46" t="s">
        <v>78</v>
      </c>
      <c r="F46" t="s">
        <v>39</v>
      </c>
      <c r="G46" t="str">
        <f>VLOOKUP(F46,ComponentsMaster!$A:$C,2,FALSE)</f>
        <v>Outsole Type 19</v>
      </c>
      <c r="H46">
        <v>164</v>
      </c>
      <c r="I46">
        <v>166</v>
      </c>
      <c r="J46">
        <f t="shared" si="2"/>
        <v>2</v>
      </c>
      <c r="K46" s="4" t="str">
        <f t="shared" si="3"/>
        <v>Over</v>
      </c>
      <c r="L46" t="s">
        <v>140</v>
      </c>
      <c r="M46" s="5" t="s">
        <v>89</v>
      </c>
    </row>
    <row r="47" spans="1:13">
      <c r="A47" s="1">
        <v>45964</v>
      </c>
      <c r="B47" t="s">
        <v>75</v>
      </c>
      <c r="C47" t="s">
        <v>98</v>
      </c>
      <c r="D47" t="s">
        <v>83</v>
      </c>
      <c r="E47" t="s">
        <v>84</v>
      </c>
      <c r="F47" t="s">
        <v>45</v>
      </c>
      <c r="G47" t="str">
        <f>VLOOKUP(F47,ComponentsMaster!$A:$C,2,FALSE)</f>
        <v>Outsole Type 22</v>
      </c>
      <c r="H47">
        <v>62</v>
      </c>
      <c r="I47">
        <v>69</v>
      </c>
      <c r="J47">
        <f t="shared" si="2"/>
        <v>7</v>
      </c>
      <c r="K47" s="4" t="str">
        <f t="shared" si="3"/>
        <v>Over</v>
      </c>
      <c r="L47" t="s">
        <v>141</v>
      </c>
      <c r="M47" s="5" t="s">
        <v>81</v>
      </c>
    </row>
    <row r="48" spans="1:13">
      <c r="A48" s="1">
        <v>45965</v>
      </c>
      <c r="B48" t="s">
        <v>82</v>
      </c>
      <c r="C48" t="s">
        <v>76</v>
      </c>
      <c r="D48" t="s">
        <v>83</v>
      </c>
      <c r="E48" t="s">
        <v>84</v>
      </c>
      <c r="F48" t="s">
        <v>15</v>
      </c>
      <c r="G48" t="str">
        <f>VLOOKUP(F48,ComponentsMaster!$A:$C,2,FALSE)</f>
        <v>Outsole Type 7</v>
      </c>
      <c r="H48">
        <v>387</v>
      </c>
      <c r="I48">
        <v>377</v>
      </c>
      <c r="J48">
        <f t="shared" si="2"/>
        <v>-10</v>
      </c>
      <c r="K48" s="4" t="str">
        <f t="shared" si="3"/>
        <v>Short</v>
      </c>
      <c r="L48" t="s">
        <v>142</v>
      </c>
      <c r="M48" s="5" t="s">
        <v>81</v>
      </c>
    </row>
    <row r="49" spans="1:13">
      <c r="A49" s="1">
        <v>45974</v>
      </c>
      <c r="B49" t="s">
        <v>97</v>
      </c>
      <c r="C49" t="s">
        <v>98</v>
      </c>
      <c r="D49" t="s">
        <v>100</v>
      </c>
      <c r="E49" t="s">
        <v>101</v>
      </c>
      <c r="F49" t="s">
        <v>41</v>
      </c>
      <c r="G49" t="str">
        <f>VLOOKUP(F49,ComponentsMaster!$A:$C,2,FALSE)</f>
        <v>Accessory 20</v>
      </c>
      <c r="H49">
        <v>148</v>
      </c>
      <c r="I49">
        <v>147</v>
      </c>
      <c r="J49">
        <f t="shared" si="2"/>
        <v>-1</v>
      </c>
      <c r="K49" s="4" t="str">
        <f t="shared" si="3"/>
        <v>Short</v>
      </c>
      <c r="L49" t="s">
        <v>143</v>
      </c>
      <c r="M49" s="5" t="s">
        <v>89</v>
      </c>
    </row>
    <row r="50" spans="1:13">
      <c r="A50" s="1">
        <v>45967</v>
      </c>
      <c r="B50" t="s">
        <v>75</v>
      </c>
      <c r="C50" t="s">
        <v>87</v>
      </c>
      <c r="D50" t="s">
        <v>100</v>
      </c>
      <c r="E50" t="s">
        <v>101</v>
      </c>
      <c r="F50" t="s">
        <v>17</v>
      </c>
      <c r="G50" t="str">
        <f>VLOOKUP(F50,ComponentsMaster!$A:$C,2,FALSE)</f>
        <v>Accessory 8</v>
      </c>
      <c r="H50">
        <v>254</v>
      </c>
      <c r="I50">
        <v>253</v>
      </c>
      <c r="J50">
        <f t="shared" si="2"/>
        <v>-1</v>
      </c>
      <c r="K50" s="4" t="str">
        <f t="shared" si="3"/>
        <v>Short</v>
      </c>
      <c r="L50" t="s">
        <v>144</v>
      </c>
      <c r="M50" s="5" t="s">
        <v>89</v>
      </c>
    </row>
    <row r="51" spans="1:13">
      <c r="A51" s="1">
        <v>45963</v>
      </c>
      <c r="B51" t="s">
        <v>75</v>
      </c>
      <c r="C51" t="s">
        <v>109</v>
      </c>
      <c r="D51" t="s">
        <v>100</v>
      </c>
      <c r="E51" t="s">
        <v>101</v>
      </c>
      <c r="F51" t="s">
        <v>31</v>
      </c>
      <c r="G51" t="str">
        <f>VLOOKUP(F51,ComponentsMaster!$A:$C,2,FALSE)</f>
        <v>Upper Material 15</v>
      </c>
      <c r="H51">
        <v>218</v>
      </c>
      <c r="I51">
        <v>214</v>
      </c>
      <c r="J51">
        <f t="shared" si="2"/>
        <v>-4</v>
      </c>
      <c r="K51" s="4" t="str">
        <f t="shared" si="3"/>
        <v>Short</v>
      </c>
      <c r="L51" t="s">
        <v>145</v>
      </c>
      <c r="M51" s="5" t="s">
        <v>89</v>
      </c>
    </row>
    <row r="52" spans="1:13">
      <c r="A52" s="1">
        <v>45963</v>
      </c>
      <c r="B52" t="s">
        <v>97</v>
      </c>
      <c r="C52" t="s">
        <v>109</v>
      </c>
      <c r="D52" t="s">
        <v>83</v>
      </c>
      <c r="E52" t="s">
        <v>84</v>
      </c>
      <c r="F52" t="s">
        <v>57</v>
      </c>
      <c r="G52" t="str">
        <f>VLOOKUP(F52,ComponentsMaster!$A:$C,2,FALSE)</f>
        <v>Outsole Type 28</v>
      </c>
      <c r="H52">
        <v>192</v>
      </c>
      <c r="I52">
        <v>195</v>
      </c>
      <c r="J52">
        <f t="shared" si="2"/>
        <v>3</v>
      </c>
      <c r="K52" s="4" t="str">
        <f t="shared" si="3"/>
        <v>Over</v>
      </c>
      <c r="L52" t="s">
        <v>146</v>
      </c>
      <c r="M52" s="5" t="s">
        <v>89</v>
      </c>
    </row>
    <row r="53" spans="1:13">
      <c r="A53" s="1">
        <v>45968</v>
      </c>
      <c r="B53" t="s">
        <v>75</v>
      </c>
      <c r="C53" t="s">
        <v>76</v>
      </c>
      <c r="D53" t="s">
        <v>100</v>
      </c>
      <c r="E53" t="s">
        <v>101</v>
      </c>
      <c r="F53" t="s">
        <v>53</v>
      </c>
      <c r="G53" t="str">
        <f>VLOOKUP(F53,ComponentsMaster!$A:$C,2,FALSE)</f>
        <v>Accessory 26</v>
      </c>
      <c r="H53">
        <v>492</v>
      </c>
      <c r="I53">
        <v>500</v>
      </c>
      <c r="J53">
        <f t="shared" si="2"/>
        <v>8</v>
      </c>
      <c r="K53" s="4" t="str">
        <f t="shared" si="3"/>
        <v>Over</v>
      </c>
      <c r="L53" t="s">
        <v>147</v>
      </c>
      <c r="M53" s="5" t="s">
        <v>81</v>
      </c>
    </row>
    <row r="54" spans="1:13">
      <c r="A54" s="1">
        <v>45963</v>
      </c>
      <c r="B54" t="s">
        <v>82</v>
      </c>
      <c r="C54" t="s">
        <v>87</v>
      </c>
      <c r="D54" t="s">
        <v>77</v>
      </c>
      <c r="E54" t="s">
        <v>78</v>
      </c>
      <c r="F54" t="s">
        <v>7</v>
      </c>
      <c r="G54" t="str">
        <f>VLOOKUP(F54,ComponentsMaster!$A:$C,2,FALSE)</f>
        <v>Upper Material 3</v>
      </c>
      <c r="H54">
        <v>85</v>
      </c>
      <c r="I54">
        <v>94</v>
      </c>
      <c r="J54">
        <f t="shared" si="2"/>
        <v>9</v>
      </c>
      <c r="K54" s="4" t="str">
        <f t="shared" si="3"/>
        <v>Over</v>
      </c>
      <c r="L54" t="s">
        <v>148</v>
      </c>
      <c r="M54" s="5" t="s">
        <v>81</v>
      </c>
    </row>
    <row r="55" spans="1:13">
      <c r="A55" s="1">
        <v>45967</v>
      </c>
      <c r="B55" t="s">
        <v>75</v>
      </c>
      <c r="C55" t="s">
        <v>109</v>
      </c>
      <c r="D55" t="s">
        <v>83</v>
      </c>
      <c r="E55" t="s">
        <v>84</v>
      </c>
      <c r="F55" t="s">
        <v>27</v>
      </c>
      <c r="G55" t="str">
        <f>VLOOKUP(F55,ComponentsMaster!$A:$C,2,FALSE)</f>
        <v>Outsole Type 13</v>
      </c>
      <c r="H55">
        <v>445</v>
      </c>
      <c r="I55">
        <v>455</v>
      </c>
      <c r="J55">
        <f t="shared" si="2"/>
        <v>10</v>
      </c>
      <c r="K55" s="4" t="str">
        <f t="shared" si="3"/>
        <v>Over</v>
      </c>
      <c r="L55" t="s">
        <v>149</v>
      </c>
      <c r="M55" s="5" t="s">
        <v>81</v>
      </c>
    </row>
    <row r="56" spans="1:13">
      <c r="A56" s="1">
        <v>45975</v>
      </c>
      <c r="B56" t="s">
        <v>82</v>
      </c>
      <c r="C56" t="s">
        <v>94</v>
      </c>
      <c r="D56" t="s">
        <v>100</v>
      </c>
      <c r="E56" t="s">
        <v>101</v>
      </c>
      <c r="F56" t="s">
        <v>19</v>
      </c>
      <c r="G56" t="str">
        <f>VLOOKUP(F56,ComponentsMaster!$A:$C,2,FALSE)</f>
        <v>Upper Material 9</v>
      </c>
      <c r="H56">
        <v>192</v>
      </c>
      <c r="I56">
        <v>192</v>
      </c>
      <c r="J56">
        <f t="shared" si="2"/>
        <v>0</v>
      </c>
      <c r="K56" s="4" t="str">
        <f t="shared" si="3"/>
        <v>Match</v>
      </c>
      <c r="L56" t="s">
        <v>150</v>
      </c>
      <c r="M56" s="5" t="s">
        <v>89</v>
      </c>
    </row>
    <row r="57" spans="1:13">
      <c r="A57" s="1">
        <v>45967</v>
      </c>
      <c r="B57" t="s">
        <v>82</v>
      </c>
      <c r="C57" t="s">
        <v>87</v>
      </c>
      <c r="D57" t="s">
        <v>77</v>
      </c>
      <c r="E57" t="s">
        <v>78</v>
      </c>
      <c r="F57" t="s">
        <v>3</v>
      </c>
      <c r="G57" t="str">
        <f>VLOOKUP(F57,ComponentsMaster!$A:$C,2,FALSE)</f>
        <v>Outsole Type 1</v>
      </c>
      <c r="H57">
        <v>229</v>
      </c>
      <c r="I57">
        <v>233</v>
      </c>
      <c r="J57">
        <f t="shared" si="2"/>
        <v>4</v>
      </c>
      <c r="K57" s="4" t="str">
        <f t="shared" si="3"/>
        <v>Over</v>
      </c>
      <c r="L57" t="s">
        <v>151</v>
      </c>
      <c r="M57" s="5" t="s">
        <v>89</v>
      </c>
    </row>
    <row r="58" spans="1:13">
      <c r="A58" s="1">
        <v>45971</v>
      </c>
      <c r="B58" t="s">
        <v>97</v>
      </c>
      <c r="C58" t="s">
        <v>87</v>
      </c>
      <c r="D58" t="s">
        <v>100</v>
      </c>
      <c r="E58" t="s">
        <v>101</v>
      </c>
      <c r="F58" t="s">
        <v>49</v>
      </c>
      <c r="G58" t="str">
        <f>VLOOKUP(F58,ComponentsMaster!$A:$C,2,FALSE)</f>
        <v>Upper Material 24</v>
      </c>
      <c r="H58">
        <v>378</v>
      </c>
      <c r="I58">
        <v>382</v>
      </c>
      <c r="J58">
        <f t="shared" si="2"/>
        <v>4</v>
      </c>
      <c r="K58" s="4" t="str">
        <f t="shared" si="3"/>
        <v>Over</v>
      </c>
      <c r="L58" t="s">
        <v>152</v>
      </c>
      <c r="M58" s="5" t="s">
        <v>89</v>
      </c>
    </row>
    <row r="59" spans="1:13">
      <c r="A59" s="1">
        <v>45966</v>
      </c>
      <c r="B59" t="s">
        <v>97</v>
      </c>
      <c r="C59" t="s">
        <v>76</v>
      </c>
      <c r="D59" t="s">
        <v>91</v>
      </c>
      <c r="E59" t="s">
        <v>92</v>
      </c>
      <c r="F59" t="s">
        <v>41</v>
      </c>
      <c r="G59" t="str">
        <f>VLOOKUP(F59,ComponentsMaster!$A:$C,2,FALSE)</f>
        <v>Accessory 20</v>
      </c>
      <c r="H59">
        <v>310</v>
      </c>
      <c r="I59">
        <v>314</v>
      </c>
      <c r="J59">
        <f t="shared" si="2"/>
        <v>4</v>
      </c>
      <c r="K59" s="4" t="str">
        <f t="shared" si="3"/>
        <v>Over</v>
      </c>
      <c r="L59" t="s">
        <v>153</v>
      </c>
      <c r="M59" s="5" t="s">
        <v>89</v>
      </c>
    </row>
    <row r="60" spans="1:13">
      <c r="A60" s="1">
        <v>45974</v>
      </c>
      <c r="B60" t="s">
        <v>97</v>
      </c>
      <c r="C60" t="s">
        <v>109</v>
      </c>
      <c r="D60" t="s">
        <v>100</v>
      </c>
      <c r="E60" t="s">
        <v>101</v>
      </c>
      <c r="F60" t="s">
        <v>17</v>
      </c>
      <c r="G60" t="str">
        <f>VLOOKUP(F60,ComponentsMaster!$A:$C,2,FALSE)</f>
        <v>Accessory 8</v>
      </c>
      <c r="H60">
        <v>254</v>
      </c>
      <c r="I60">
        <v>265</v>
      </c>
      <c r="J60">
        <f t="shared" si="2"/>
        <v>11</v>
      </c>
      <c r="K60" s="4" t="str">
        <f t="shared" si="3"/>
        <v>Over</v>
      </c>
      <c r="L60" t="s">
        <v>154</v>
      </c>
      <c r="M60" s="5" t="s">
        <v>81</v>
      </c>
    </row>
    <row r="61" spans="1:13">
      <c r="A61" s="1">
        <v>45962</v>
      </c>
      <c r="B61" t="s">
        <v>75</v>
      </c>
      <c r="C61" t="s">
        <v>87</v>
      </c>
      <c r="D61" t="s">
        <v>91</v>
      </c>
      <c r="E61" t="s">
        <v>92</v>
      </c>
      <c r="F61" t="s">
        <v>47</v>
      </c>
      <c r="G61" t="str">
        <f>VLOOKUP(F61,ComponentsMaster!$A:$C,2,FALSE)</f>
        <v>Accessory 23</v>
      </c>
      <c r="H61">
        <v>397</v>
      </c>
      <c r="I61">
        <v>393</v>
      </c>
      <c r="J61">
        <f t="shared" si="2"/>
        <v>-4</v>
      </c>
      <c r="K61" s="4" t="str">
        <f t="shared" si="3"/>
        <v>Short</v>
      </c>
      <c r="L61" t="s">
        <v>155</v>
      </c>
      <c r="M61" s="5" t="s">
        <v>89</v>
      </c>
    </row>
    <row r="62" spans="1:13">
      <c r="A62" s="1">
        <v>45973</v>
      </c>
      <c r="B62" t="s">
        <v>97</v>
      </c>
      <c r="C62" t="s">
        <v>109</v>
      </c>
      <c r="D62" t="s">
        <v>100</v>
      </c>
      <c r="E62" t="s">
        <v>101</v>
      </c>
      <c r="F62" t="s">
        <v>35</v>
      </c>
      <c r="G62" t="str">
        <f>VLOOKUP(F62,ComponentsMaster!$A:$C,2,FALSE)</f>
        <v>Accessory 17</v>
      </c>
      <c r="H62">
        <v>481</v>
      </c>
      <c r="I62">
        <v>487</v>
      </c>
      <c r="J62">
        <f t="shared" si="2"/>
        <v>6</v>
      </c>
      <c r="K62" s="4" t="str">
        <f t="shared" si="3"/>
        <v>Over</v>
      </c>
      <c r="L62" t="s">
        <v>156</v>
      </c>
      <c r="M62" s="5" t="s">
        <v>81</v>
      </c>
    </row>
    <row r="63" spans="1:13">
      <c r="A63" s="1">
        <v>45969</v>
      </c>
      <c r="B63" t="s">
        <v>97</v>
      </c>
      <c r="C63" t="s">
        <v>94</v>
      </c>
      <c r="D63" t="s">
        <v>100</v>
      </c>
      <c r="E63" t="s">
        <v>101</v>
      </c>
      <c r="F63" t="s">
        <v>27</v>
      </c>
      <c r="G63" t="str">
        <f>VLOOKUP(F63,ComponentsMaster!$A:$C,2,FALSE)</f>
        <v>Outsole Type 13</v>
      </c>
      <c r="H63">
        <v>324</v>
      </c>
      <c r="I63">
        <v>329</v>
      </c>
      <c r="J63">
        <f t="shared" si="2"/>
        <v>5</v>
      </c>
      <c r="K63" s="4" t="str">
        <f t="shared" si="3"/>
        <v>Over</v>
      </c>
      <c r="L63" t="s">
        <v>157</v>
      </c>
      <c r="M63" s="5" t="s">
        <v>89</v>
      </c>
    </row>
    <row r="64" spans="1:13">
      <c r="A64" s="1">
        <v>45970</v>
      </c>
      <c r="B64" t="s">
        <v>75</v>
      </c>
      <c r="C64" t="s">
        <v>76</v>
      </c>
      <c r="D64" t="s">
        <v>83</v>
      </c>
      <c r="E64" t="s">
        <v>84</v>
      </c>
      <c r="F64" t="s">
        <v>3</v>
      </c>
      <c r="G64" t="str">
        <f>VLOOKUP(F64,ComponentsMaster!$A:$C,2,FALSE)</f>
        <v>Outsole Type 1</v>
      </c>
      <c r="H64">
        <v>219</v>
      </c>
      <c r="I64">
        <v>214</v>
      </c>
      <c r="J64">
        <f t="shared" si="2"/>
        <v>-5</v>
      </c>
      <c r="K64" s="4" t="str">
        <f t="shared" si="3"/>
        <v>Short</v>
      </c>
      <c r="L64" t="s">
        <v>158</v>
      </c>
      <c r="M64" s="5" t="s">
        <v>89</v>
      </c>
    </row>
    <row r="65" spans="1:13">
      <c r="A65" s="1">
        <v>45963</v>
      </c>
      <c r="B65" t="s">
        <v>97</v>
      </c>
      <c r="C65" t="s">
        <v>94</v>
      </c>
      <c r="D65" t="s">
        <v>83</v>
      </c>
      <c r="E65" t="s">
        <v>84</v>
      </c>
      <c r="F65" t="s">
        <v>7</v>
      </c>
      <c r="G65" t="str">
        <f>VLOOKUP(F65,ComponentsMaster!$A:$C,2,FALSE)</f>
        <v>Upper Material 3</v>
      </c>
      <c r="H65">
        <v>64</v>
      </c>
      <c r="I65">
        <v>75</v>
      </c>
      <c r="J65">
        <f t="shared" si="2"/>
        <v>11</v>
      </c>
      <c r="K65" s="4" t="str">
        <f t="shared" si="3"/>
        <v>Over</v>
      </c>
      <c r="L65" t="s">
        <v>159</v>
      </c>
      <c r="M65" s="5" t="s">
        <v>81</v>
      </c>
    </row>
    <row r="66" spans="1:13">
      <c r="A66" s="1">
        <v>45968</v>
      </c>
      <c r="B66" t="s">
        <v>75</v>
      </c>
      <c r="C66" t="s">
        <v>76</v>
      </c>
      <c r="D66" t="s">
        <v>91</v>
      </c>
      <c r="E66" t="s">
        <v>92</v>
      </c>
      <c r="F66" t="s">
        <v>55</v>
      </c>
      <c r="G66" t="str">
        <f>VLOOKUP(F66,ComponentsMaster!$A:$C,2,FALSE)</f>
        <v>Upper Material 27</v>
      </c>
      <c r="H66">
        <v>109</v>
      </c>
      <c r="I66">
        <v>101</v>
      </c>
      <c r="J66">
        <f t="shared" ref="J66:J81" si="4">I66-H66</f>
        <v>-8</v>
      </c>
      <c r="K66" s="4" t="str">
        <f t="shared" ref="K66:K81" si="5">IF(J66=0,"Match",IF(J66&lt;0,"Short","Over"))</f>
        <v>Short</v>
      </c>
      <c r="L66" t="s">
        <v>160</v>
      </c>
      <c r="M66" s="5" t="s">
        <v>81</v>
      </c>
    </row>
    <row r="67" spans="1:13">
      <c r="A67" s="1">
        <v>45963</v>
      </c>
      <c r="B67" t="s">
        <v>75</v>
      </c>
      <c r="C67" t="s">
        <v>87</v>
      </c>
      <c r="D67" t="s">
        <v>83</v>
      </c>
      <c r="E67" t="s">
        <v>84</v>
      </c>
      <c r="F67" t="s">
        <v>57</v>
      </c>
      <c r="G67" t="str">
        <f>VLOOKUP(F67,ComponentsMaster!$A:$C,2,FALSE)</f>
        <v>Outsole Type 28</v>
      </c>
      <c r="H67">
        <v>499</v>
      </c>
      <c r="I67">
        <v>498</v>
      </c>
      <c r="J67">
        <f t="shared" si="4"/>
        <v>-1</v>
      </c>
      <c r="K67" s="4" t="str">
        <f t="shared" si="5"/>
        <v>Short</v>
      </c>
      <c r="L67" t="s">
        <v>161</v>
      </c>
      <c r="M67" s="5" t="s">
        <v>89</v>
      </c>
    </row>
    <row r="68" spans="1:13">
      <c r="A68" s="1">
        <v>45970</v>
      </c>
      <c r="B68" t="s">
        <v>82</v>
      </c>
      <c r="C68" t="s">
        <v>76</v>
      </c>
      <c r="D68" t="s">
        <v>77</v>
      </c>
      <c r="E68" t="s">
        <v>78</v>
      </c>
      <c r="F68" t="s">
        <v>35</v>
      </c>
      <c r="G68" t="str">
        <f>VLOOKUP(F68,ComponentsMaster!$A:$C,2,FALSE)</f>
        <v>Accessory 17</v>
      </c>
      <c r="H68">
        <v>183</v>
      </c>
      <c r="I68">
        <v>189</v>
      </c>
      <c r="J68">
        <f t="shared" si="4"/>
        <v>6</v>
      </c>
      <c r="K68" s="4" t="str">
        <f t="shared" si="5"/>
        <v>Over</v>
      </c>
      <c r="L68" t="s">
        <v>162</v>
      </c>
      <c r="M68" s="5" t="s">
        <v>81</v>
      </c>
    </row>
    <row r="69" spans="1:13">
      <c r="A69" s="1">
        <v>45966</v>
      </c>
      <c r="B69" t="s">
        <v>82</v>
      </c>
      <c r="C69" t="s">
        <v>98</v>
      </c>
      <c r="D69" t="s">
        <v>77</v>
      </c>
      <c r="E69" t="s">
        <v>78</v>
      </c>
      <c r="F69" t="s">
        <v>53</v>
      </c>
      <c r="G69" t="str">
        <f>VLOOKUP(F69,ComponentsMaster!$A:$C,2,FALSE)</f>
        <v>Accessory 26</v>
      </c>
      <c r="H69">
        <v>141</v>
      </c>
      <c r="I69">
        <v>152</v>
      </c>
      <c r="J69">
        <f t="shared" si="4"/>
        <v>11</v>
      </c>
      <c r="K69" s="4" t="str">
        <f t="shared" si="5"/>
        <v>Over</v>
      </c>
      <c r="L69" t="s">
        <v>163</v>
      </c>
      <c r="M69" s="5" t="s">
        <v>81</v>
      </c>
    </row>
    <row r="70" spans="1:13">
      <c r="A70" s="1">
        <v>45975</v>
      </c>
      <c r="B70" t="s">
        <v>97</v>
      </c>
      <c r="C70" t="s">
        <v>109</v>
      </c>
      <c r="D70" t="s">
        <v>91</v>
      </c>
      <c r="E70" t="s">
        <v>92</v>
      </c>
      <c r="F70" t="s">
        <v>37</v>
      </c>
      <c r="G70" t="str">
        <f>VLOOKUP(F70,ComponentsMaster!$A:$C,2,FALSE)</f>
        <v>Upper Material 18</v>
      </c>
      <c r="H70">
        <v>347</v>
      </c>
      <c r="I70">
        <v>357</v>
      </c>
      <c r="J70">
        <f t="shared" si="4"/>
        <v>10</v>
      </c>
      <c r="K70" s="4" t="str">
        <f t="shared" si="5"/>
        <v>Over</v>
      </c>
      <c r="L70" t="s">
        <v>164</v>
      </c>
      <c r="M70" s="5" t="s">
        <v>81</v>
      </c>
    </row>
    <row r="71" spans="1:13">
      <c r="A71" s="1">
        <v>45972</v>
      </c>
      <c r="B71" t="s">
        <v>75</v>
      </c>
      <c r="C71" t="s">
        <v>109</v>
      </c>
      <c r="D71" t="s">
        <v>77</v>
      </c>
      <c r="E71" t="s">
        <v>78</v>
      </c>
      <c r="F71" t="s">
        <v>11</v>
      </c>
      <c r="G71" t="str">
        <f>VLOOKUP(F71,ComponentsMaster!$A:$C,2,FALSE)</f>
        <v>Accessory 5</v>
      </c>
      <c r="H71">
        <v>185</v>
      </c>
      <c r="I71">
        <v>194</v>
      </c>
      <c r="J71">
        <f t="shared" si="4"/>
        <v>9</v>
      </c>
      <c r="K71" s="4" t="str">
        <f t="shared" si="5"/>
        <v>Over</v>
      </c>
      <c r="L71" t="s">
        <v>165</v>
      </c>
      <c r="M71" s="5" t="s">
        <v>81</v>
      </c>
    </row>
    <row r="72" spans="1:13">
      <c r="A72" s="1">
        <v>45971</v>
      </c>
      <c r="B72" t="s">
        <v>82</v>
      </c>
      <c r="C72" t="s">
        <v>98</v>
      </c>
      <c r="D72" t="s">
        <v>77</v>
      </c>
      <c r="E72" t="s">
        <v>78</v>
      </c>
      <c r="F72" t="s">
        <v>9</v>
      </c>
      <c r="G72" t="str">
        <f>VLOOKUP(F72,ComponentsMaster!$A:$C,2,FALSE)</f>
        <v>Outsole Type 4</v>
      </c>
      <c r="H72">
        <v>69</v>
      </c>
      <c r="I72">
        <v>69</v>
      </c>
      <c r="J72">
        <f t="shared" si="4"/>
        <v>0</v>
      </c>
      <c r="K72" s="4" t="str">
        <f t="shared" si="5"/>
        <v>Match</v>
      </c>
      <c r="L72" t="s">
        <v>166</v>
      </c>
      <c r="M72" s="5" t="s">
        <v>89</v>
      </c>
    </row>
    <row r="73" spans="1:13">
      <c r="A73" s="1">
        <v>45975</v>
      </c>
      <c r="B73" t="s">
        <v>82</v>
      </c>
      <c r="C73" t="s">
        <v>94</v>
      </c>
      <c r="D73" t="s">
        <v>100</v>
      </c>
      <c r="E73" t="s">
        <v>101</v>
      </c>
      <c r="F73" t="s">
        <v>21</v>
      </c>
      <c r="G73" t="str">
        <f>VLOOKUP(F73,ComponentsMaster!$A:$C,2,FALSE)</f>
        <v>Outsole Type 10</v>
      </c>
      <c r="H73">
        <v>105</v>
      </c>
      <c r="I73">
        <v>97</v>
      </c>
      <c r="J73">
        <f t="shared" si="4"/>
        <v>-8</v>
      </c>
      <c r="K73" s="4" t="str">
        <f t="shared" si="5"/>
        <v>Short</v>
      </c>
      <c r="L73" t="s">
        <v>167</v>
      </c>
      <c r="M73" s="5" t="s">
        <v>81</v>
      </c>
    </row>
    <row r="74" spans="1:13">
      <c r="A74" s="1">
        <v>45967</v>
      </c>
      <c r="B74" t="s">
        <v>82</v>
      </c>
      <c r="C74" t="s">
        <v>98</v>
      </c>
      <c r="D74" t="s">
        <v>83</v>
      </c>
      <c r="E74" t="s">
        <v>84</v>
      </c>
      <c r="F74" t="s">
        <v>55</v>
      </c>
      <c r="G74" t="str">
        <f>VLOOKUP(F74,ComponentsMaster!$A:$C,2,FALSE)</f>
        <v>Upper Material 27</v>
      </c>
      <c r="H74">
        <v>355</v>
      </c>
      <c r="I74">
        <v>352</v>
      </c>
      <c r="J74">
        <f t="shared" si="4"/>
        <v>-3</v>
      </c>
      <c r="K74" s="4" t="str">
        <f t="shared" si="5"/>
        <v>Short</v>
      </c>
      <c r="L74" t="s">
        <v>168</v>
      </c>
      <c r="M74" s="5" t="s">
        <v>89</v>
      </c>
    </row>
    <row r="75" spans="1:13">
      <c r="A75" s="1">
        <v>45971</v>
      </c>
      <c r="B75" t="s">
        <v>82</v>
      </c>
      <c r="C75" t="s">
        <v>87</v>
      </c>
      <c r="D75" t="s">
        <v>77</v>
      </c>
      <c r="E75" t="s">
        <v>78</v>
      </c>
      <c r="F75" t="s">
        <v>49</v>
      </c>
      <c r="G75" t="str">
        <f>VLOOKUP(F75,ComponentsMaster!$A:$C,2,FALSE)</f>
        <v>Upper Material 24</v>
      </c>
      <c r="H75">
        <v>272</v>
      </c>
      <c r="I75">
        <v>283</v>
      </c>
      <c r="J75">
        <f t="shared" si="4"/>
        <v>11</v>
      </c>
      <c r="K75" s="4" t="str">
        <f t="shared" si="5"/>
        <v>Over</v>
      </c>
      <c r="L75" t="s">
        <v>169</v>
      </c>
      <c r="M75" s="5" t="s">
        <v>81</v>
      </c>
    </row>
    <row r="76" spans="1:13">
      <c r="A76" s="1">
        <v>45965</v>
      </c>
      <c r="B76" t="s">
        <v>97</v>
      </c>
      <c r="C76" t="s">
        <v>87</v>
      </c>
      <c r="D76" t="s">
        <v>77</v>
      </c>
      <c r="E76" t="s">
        <v>78</v>
      </c>
      <c r="F76" t="s">
        <v>53</v>
      </c>
      <c r="G76" t="str">
        <f>VLOOKUP(F76,ComponentsMaster!$A:$C,2,FALSE)</f>
        <v>Accessory 26</v>
      </c>
      <c r="H76">
        <v>226</v>
      </c>
      <c r="I76">
        <v>225</v>
      </c>
      <c r="J76">
        <f t="shared" si="4"/>
        <v>-1</v>
      </c>
      <c r="K76" s="4" t="str">
        <f t="shared" si="5"/>
        <v>Short</v>
      </c>
      <c r="L76" t="s">
        <v>170</v>
      </c>
      <c r="M76" s="5" t="s">
        <v>89</v>
      </c>
    </row>
    <row r="77" spans="1:13">
      <c r="A77" s="1">
        <v>45973</v>
      </c>
      <c r="B77" t="s">
        <v>82</v>
      </c>
      <c r="C77" t="s">
        <v>109</v>
      </c>
      <c r="D77" t="s">
        <v>83</v>
      </c>
      <c r="E77" t="s">
        <v>84</v>
      </c>
      <c r="F77" t="s">
        <v>55</v>
      </c>
      <c r="G77" t="str">
        <f>VLOOKUP(F77,ComponentsMaster!$A:$C,2,FALSE)</f>
        <v>Upper Material 27</v>
      </c>
      <c r="H77">
        <v>423</v>
      </c>
      <c r="I77">
        <v>420</v>
      </c>
      <c r="J77">
        <f t="shared" si="4"/>
        <v>-3</v>
      </c>
      <c r="K77" s="4" t="str">
        <f t="shared" si="5"/>
        <v>Short</v>
      </c>
      <c r="L77" t="s">
        <v>171</v>
      </c>
      <c r="M77" s="5" t="s">
        <v>89</v>
      </c>
    </row>
    <row r="78" spans="1:13">
      <c r="A78" s="1">
        <v>45963</v>
      </c>
      <c r="B78" t="s">
        <v>97</v>
      </c>
      <c r="C78" t="s">
        <v>87</v>
      </c>
      <c r="D78" t="s">
        <v>77</v>
      </c>
      <c r="E78" t="s">
        <v>78</v>
      </c>
      <c r="F78" t="s">
        <v>15</v>
      </c>
      <c r="G78" t="str">
        <f>VLOOKUP(F78,ComponentsMaster!$A:$C,2,FALSE)</f>
        <v>Outsole Type 7</v>
      </c>
      <c r="H78">
        <v>452</v>
      </c>
      <c r="I78">
        <v>448</v>
      </c>
      <c r="J78">
        <f t="shared" si="4"/>
        <v>-4</v>
      </c>
      <c r="K78" s="4" t="str">
        <f t="shared" si="5"/>
        <v>Short</v>
      </c>
      <c r="L78" t="s">
        <v>172</v>
      </c>
      <c r="M78" s="5" t="s">
        <v>89</v>
      </c>
    </row>
    <row r="79" spans="1:13">
      <c r="A79" s="1">
        <v>45962</v>
      </c>
      <c r="B79" t="s">
        <v>75</v>
      </c>
      <c r="C79" t="s">
        <v>109</v>
      </c>
      <c r="D79" t="s">
        <v>77</v>
      </c>
      <c r="E79" t="s">
        <v>78</v>
      </c>
      <c r="F79" t="s">
        <v>17</v>
      </c>
      <c r="G79" t="str">
        <f>VLOOKUP(F79,ComponentsMaster!$A:$C,2,FALSE)</f>
        <v>Accessory 8</v>
      </c>
      <c r="H79">
        <v>210</v>
      </c>
      <c r="I79">
        <v>204</v>
      </c>
      <c r="J79">
        <f t="shared" si="4"/>
        <v>-6</v>
      </c>
      <c r="K79" s="4" t="str">
        <f t="shared" si="5"/>
        <v>Short</v>
      </c>
      <c r="L79" t="s">
        <v>173</v>
      </c>
      <c r="M79" s="5" t="s">
        <v>81</v>
      </c>
    </row>
    <row r="80" spans="1:13">
      <c r="A80" s="1">
        <v>45972</v>
      </c>
      <c r="B80" t="s">
        <v>97</v>
      </c>
      <c r="C80" t="s">
        <v>98</v>
      </c>
      <c r="D80" t="s">
        <v>83</v>
      </c>
      <c r="E80" t="s">
        <v>84</v>
      </c>
      <c r="F80" t="s">
        <v>9</v>
      </c>
      <c r="G80" t="str">
        <f>VLOOKUP(F80,ComponentsMaster!$A:$C,2,FALSE)</f>
        <v>Outsole Type 4</v>
      </c>
      <c r="H80">
        <v>273</v>
      </c>
      <c r="I80">
        <v>263</v>
      </c>
      <c r="J80">
        <f t="shared" si="4"/>
        <v>-10</v>
      </c>
      <c r="K80" s="4" t="str">
        <f t="shared" si="5"/>
        <v>Short</v>
      </c>
      <c r="L80" t="s">
        <v>174</v>
      </c>
      <c r="M80" s="5" t="s">
        <v>81</v>
      </c>
    </row>
    <row r="81" spans="1:13">
      <c r="A81" s="1">
        <v>45965</v>
      </c>
      <c r="B81" t="s">
        <v>82</v>
      </c>
      <c r="C81" t="s">
        <v>98</v>
      </c>
      <c r="D81" t="s">
        <v>100</v>
      </c>
      <c r="E81" t="s">
        <v>101</v>
      </c>
      <c r="F81" t="s">
        <v>49</v>
      </c>
      <c r="G81" t="str">
        <f>VLOOKUP(F81,ComponentsMaster!$A:$C,2,FALSE)</f>
        <v>Upper Material 24</v>
      </c>
      <c r="H81">
        <v>360</v>
      </c>
      <c r="I81">
        <v>351</v>
      </c>
      <c r="J81">
        <f t="shared" si="4"/>
        <v>-9</v>
      </c>
      <c r="K81" s="4" t="str">
        <f t="shared" si="5"/>
        <v>Short</v>
      </c>
      <c r="L81" t="s">
        <v>175</v>
      </c>
      <c r="M81" s="5" t="s">
        <v>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279E-E428-4777-A27A-CB4F0FF9DFCC}">
  <dimension ref="A3:C182"/>
  <sheetViews>
    <sheetView workbookViewId="0">
      <selection activeCell="A47" sqref="A47"/>
    </sheetView>
  </sheetViews>
  <sheetFormatPr defaultRowHeight="14.4"/>
  <cols>
    <col min="1" max="1" width="16.5546875" bestFit="1" customWidth="1"/>
    <col min="2" max="2" width="16.21875" bestFit="1" customWidth="1"/>
    <col min="3" max="3" width="15.33203125" bestFit="1" customWidth="1"/>
    <col min="4" max="4" width="16.21875" bestFit="1" customWidth="1"/>
  </cols>
  <sheetData>
    <row r="3" spans="1:3">
      <c r="A3" s="6" t="s">
        <v>190</v>
      </c>
      <c r="B3" t="s">
        <v>208</v>
      </c>
    </row>
    <row r="4" spans="1:3">
      <c r="A4" s="7" t="s">
        <v>114</v>
      </c>
      <c r="B4">
        <v>5</v>
      </c>
    </row>
    <row r="5" spans="1:3">
      <c r="A5" s="7" t="s">
        <v>79</v>
      </c>
      <c r="B5">
        <v>44</v>
      </c>
    </row>
    <row r="6" spans="1:3">
      <c r="A6" s="7" t="s">
        <v>85</v>
      </c>
      <c r="B6">
        <v>31</v>
      </c>
    </row>
    <row r="7" spans="1:3">
      <c r="A7" s="7" t="s">
        <v>191</v>
      </c>
      <c r="B7">
        <v>80</v>
      </c>
    </row>
    <row r="10" spans="1:3">
      <c r="A10" s="6" t="s">
        <v>190</v>
      </c>
      <c r="B10" t="s">
        <v>209</v>
      </c>
      <c r="C10" t="s">
        <v>210</v>
      </c>
    </row>
    <row r="11" spans="1:3">
      <c r="A11" s="7" t="s">
        <v>98</v>
      </c>
      <c r="B11">
        <v>17</v>
      </c>
      <c r="C11">
        <v>48</v>
      </c>
    </row>
    <row r="12" spans="1:3">
      <c r="A12" s="21" t="s">
        <v>100</v>
      </c>
      <c r="B12">
        <v>6</v>
      </c>
      <c r="C12">
        <v>14</v>
      </c>
    </row>
    <row r="13" spans="1:3">
      <c r="A13" s="21" t="s">
        <v>77</v>
      </c>
      <c r="B13">
        <v>5</v>
      </c>
      <c r="C13">
        <v>14</v>
      </c>
    </row>
    <row r="14" spans="1:3">
      <c r="A14" s="21" t="s">
        <v>83</v>
      </c>
      <c r="B14">
        <v>4</v>
      </c>
      <c r="C14">
        <v>5</v>
      </c>
    </row>
    <row r="15" spans="1:3">
      <c r="A15" s="21" t="s">
        <v>91</v>
      </c>
      <c r="B15">
        <v>2</v>
      </c>
      <c r="C15">
        <v>15</v>
      </c>
    </row>
    <row r="16" spans="1:3">
      <c r="A16" s="7" t="s">
        <v>109</v>
      </c>
      <c r="B16">
        <v>16</v>
      </c>
      <c r="C16">
        <v>59</v>
      </c>
    </row>
    <row r="17" spans="1:3">
      <c r="A17" s="21" t="s">
        <v>100</v>
      </c>
      <c r="B17">
        <v>6</v>
      </c>
      <c r="C17">
        <v>16</v>
      </c>
    </row>
    <row r="18" spans="1:3">
      <c r="A18" s="21" t="s">
        <v>77</v>
      </c>
      <c r="B18">
        <v>3</v>
      </c>
      <c r="C18">
        <v>11</v>
      </c>
    </row>
    <row r="19" spans="1:3">
      <c r="A19" s="21" t="s">
        <v>83</v>
      </c>
      <c r="B19">
        <v>5</v>
      </c>
      <c r="C19">
        <v>11</v>
      </c>
    </row>
    <row r="20" spans="1:3">
      <c r="A20" s="21" t="s">
        <v>91</v>
      </c>
      <c r="B20">
        <v>2</v>
      </c>
      <c r="C20">
        <v>21</v>
      </c>
    </row>
    <row r="21" spans="1:3">
      <c r="A21" s="7" t="s">
        <v>94</v>
      </c>
      <c r="B21">
        <v>14</v>
      </c>
      <c r="C21">
        <v>44</v>
      </c>
    </row>
    <row r="22" spans="1:3">
      <c r="A22" s="21" t="s">
        <v>100</v>
      </c>
      <c r="B22">
        <v>7</v>
      </c>
      <c r="C22">
        <v>20</v>
      </c>
    </row>
    <row r="23" spans="1:3">
      <c r="A23" s="21" t="s">
        <v>77</v>
      </c>
      <c r="B23">
        <v>4</v>
      </c>
      <c r="C23">
        <v>5</v>
      </c>
    </row>
    <row r="24" spans="1:3">
      <c r="A24" s="21" t="s">
        <v>83</v>
      </c>
      <c r="B24">
        <v>3</v>
      </c>
      <c r="C24">
        <v>19</v>
      </c>
    </row>
    <row r="25" spans="1:3">
      <c r="A25" s="7" t="s">
        <v>76</v>
      </c>
      <c r="B25">
        <v>12</v>
      </c>
      <c r="C25">
        <v>-3</v>
      </c>
    </row>
    <row r="26" spans="1:3">
      <c r="A26" s="21" t="s">
        <v>100</v>
      </c>
      <c r="B26">
        <v>2</v>
      </c>
      <c r="C26">
        <v>4</v>
      </c>
    </row>
    <row r="27" spans="1:3">
      <c r="A27" s="21" t="s">
        <v>77</v>
      </c>
      <c r="B27">
        <v>4</v>
      </c>
      <c r="C27">
        <v>23</v>
      </c>
    </row>
    <row r="28" spans="1:3">
      <c r="A28" s="21" t="s">
        <v>83</v>
      </c>
      <c r="B28">
        <v>4</v>
      </c>
      <c r="C28">
        <v>-26</v>
      </c>
    </row>
    <row r="29" spans="1:3">
      <c r="A29" s="21" t="s">
        <v>91</v>
      </c>
      <c r="B29">
        <v>2</v>
      </c>
      <c r="C29">
        <v>-4</v>
      </c>
    </row>
    <row r="30" spans="1:3">
      <c r="A30" s="7" t="s">
        <v>87</v>
      </c>
      <c r="B30">
        <v>21</v>
      </c>
      <c r="C30">
        <v>21</v>
      </c>
    </row>
    <row r="31" spans="1:3">
      <c r="A31" s="21" t="s">
        <v>100</v>
      </c>
      <c r="B31">
        <v>3</v>
      </c>
      <c r="C31">
        <v>3</v>
      </c>
    </row>
    <row r="32" spans="1:3">
      <c r="A32" s="21" t="s">
        <v>77</v>
      </c>
      <c r="B32">
        <v>9</v>
      </c>
      <c r="C32">
        <v>25</v>
      </c>
    </row>
    <row r="33" spans="1:3">
      <c r="A33" s="21" t="s">
        <v>83</v>
      </c>
      <c r="B33">
        <v>6</v>
      </c>
      <c r="C33">
        <v>1</v>
      </c>
    </row>
    <row r="34" spans="1:3">
      <c r="A34" s="21" t="s">
        <v>91</v>
      </c>
      <c r="B34">
        <v>3</v>
      </c>
      <c r="C34">
        <v>-8</v>
      </c>
    </row>
    <row r="35" spans="1:3">
      <c r="A35" s="7" t="s">
        <v>191</v>
      </c>
      <c r="B35">
        <v>80</v>
      </c>
      <c r="C35">
        <v>169</v>
      </c>
    </row>
    <row r="38" spans="1:3">
      <c r="A38" s="6" t="s">
        <v>190</v>
      </c>
      <c r="B38" t="s">
        <v>188</v>
      </c>
      <c r="C38" t="s">
        <v>189</v>
      </c>
    </row>
    <row r="39" spans="1:3">
      <c r="A39" s="7" t="s">
        <v>100</v>
      </c>
      <c r="B39">
        <v>8197</v>
      </c>
      <c r="C39">
        <v>8254</v>
      </c>
    </row>
    <row r="40" spans="1:3">
      <c r="A40" s="7" t="s">
        <v>77</v>
      </c>
      <c r="B40">
        <v>6318</v>
      </c>
      <c r="C40">
        <v>6396</v>
      </c>
    </row>
    <row r="41" spans="1:3">
      <c r="A41" s="7" t="s">
        <v>83</v>
      </c>
      <c r="B41">
        <v>6037</v>
      </c>
      <c r="C41">
        <v>6047</v>
      </c>
    </row>
    <row r="42" spans="1:3">
      <c r="A42" s="7" t="s">
        <v>91</v>
      </c>
      <c r="B42">
        <v>2694</v>
      </c>
      <c r="C42">
        <v>2718</v>
      </c>
    </row>
    <row r="43" spans="1:3">
      <c r="A43" s="7" t="s">
        <v>191</v>
      </c>
      <c r="B43">
        <v>23246</v>
      </c>
      <c r="C43">
        <v>23415</v>
      </c>
    </row>
    <row r="46" spans="1:3">
      <c r="A46" s="6" t="s">
        <v>190</v>
      </c>
      <c r="B46" t="s">
        <v>210</v>
      </c>
    </row>
    <row r="47" spans="1:3">
      <c r="A47" s="22">
        <v>45962</v>
      </c>
      <c r="B47">
        <v>-9</v>
      </c>
    </row>
    <row r="48" spans="1:3">
      <c r="A48" s="21" t="s">
        <v>98</v>
      </c>
      <c r="B48">
        <v>3</v>
      </c>
    </row>
    <row r="49" spans="1:2">
      <c r="A49" s="23" t="s">
        <v>100</v>
      </c>
      <c r="B49">
        <v>11</v>
      </c>
    </row>
    <row r="50" spans="1:2">
      <c r="A50" s="23" t="s">
        <v>77</v>
      </c>
      <c r="B50">
        <v>-8</v>
      </c>
    </row>
    <row r="51" spans="1:2">
      <c r="A51" s="21" t="s">
        <v>109</v>
      </c>
      <c r="B51">
        <v>-6</v>
      </c>
    </row>
    <row r="52" spans="1:2">
      <c r="A52" s="23" t="s">
        <v>77</v>
      </c>
      <c r="B52">
        <v>-6</v>
      </c>
    </row>
    <row r="53" spans="1:2">
      <c r="A53" s="21" t="s">
        <v>94</v>
      </c>
      <c r="B53">
        <v>-7</v>
      </c>
    </row>
    <row r="54" spans="1:2">
      <c r="A54" s="23" t="s">
        <v>77</v>
      </c>
      <c r="B54">
        <v>-7</v>
      </c>
    </row>
    <row r="55" spans="1:2">
      <c r="A55" s="21" t="s">
        <v>76</v>
      </c>
      <c r="B55">
        <v>3</v>
      </c>
    </row>
    <row r="56" spans="1:2">
      <c r="A56" s="23" t="s">
        <v>77</v>
      </c>
      <c r="B56">
        <v>3</v>
      </c>
    </row>
    <row r="57" spans="1:2">
      <c r="A57" s="21" t="s">
        <v>87</v>
      </c>
      <c r="B57">
        <v>-2</v>
      </c>
    </row>
    <row r="58" spans="1:2">
      <c r="A58" s="23" t="s">
        <v>77</v>
      </c>
      <c r="B58">
        <v>2</v>
      </c>
    </row>
    <row r="59" spans="1:2">
      <c r="A59" s="23" t="s">
        <v>91</v>
      </c>
      <c r="B59">
        <v>-4</v>
      </c>
    </row>
    <row r="60" spans="1:2">
      <c r="A60" s="22">
        <v>45963</v>
      </c>
      <c r="B60">
        <v>19</v>
      </c>
    </row>
    <row r="61" spans="1:2">
      <c r="A61" s="21" t="s">
        <v>109</v>
      </c>
      <c r="B61">
        <v>-1</v>
      </c>
    </row>
    <row r="62" spans="1:2">
      <c r="A62" s="23" t="s">
        <v>100</v>
      </c>
      <c r="B62">
        <v>-4</v>
      </c>
    </row>
    <row r="63" spans="1:2">
      <c r="A63" s="23" t="s">
        <v>83</v>
      </c>
      <c r="B63">
        <v>3</v>
      </c>
    </row>
    <row r="64" spans="1:2">
      <c r="A64" s="21" t="s">
        <v>94</v>
      </c>
      <c r="B64">
        <v>33</v>
      </c>
    </row>
    <row r="65" spans="1:2">
      <c r="A65" s="23" t="s">
        <v>100</v>
      </c>
      <c r="B65">
        <v>22</v>
      </c>
    </row>
    <row r="66" spans="1:2">
      <c r="A66" s="23" t="s">
        <v>83</v>
      </c>
      <c r="B66">
        <v>11</v>
      </c>
    </row>
    <row r="67" spans="1:2">
      <c r="A67" s="21" t="s">
        <v>76</v>
      </c>
      <c r="B67">
        <v>-7</v>
      </c>
    </row>
    <row r="68" spans="1:2">
      <c r="A68" s="23" t="s">
        <v>83</v>
      </c>
      <c r="B68">
        <v>-7</v>
      </c>
    </row>
    <row r="69" spans="1:2">
      <c r="A69" s="21" t="s">
        <v>87</v>
      </c>
      <c r="B69">
        <v>-6</v>
      </c>
    </row>
    <row r="70" spans="1:2">
      <c r="A70" s="23" t="s">
        <v>77</v>
      </c>
      <c r="B70">
        <v>5</v>
      </c>
    </row>
    <row r="71" spans="1:2">
      <c r="A71" s="23" t="s">
        <v>83</v>
      </c>
      <c r="B71">
        <v>-11</v>
      </c>
    </row>
    <row r="72" spans="1:2">
      <c r="A72" s="22">
        <v>45964</v>
      </c>
      <c r="B72">
        <v>14</v>
      </c>
    </row>
    <row r="73" spans="1:2">
      <c r="A73" s="21" t="s">
        <v>98</v>
      </c>
      <c r="B73">
        <v>19</v>
      </c>
    </row>
    <row r="74" spans="1:2">
      <c r="A74" s="23" t="s">
        <v>83</v>
      </c>
      <c r="B74">
        <v>7</v>
      </c>
    </row>
    <row r="75" spans="1:2">
      <c r="A75" s="23" t="s">
        <v>91</v>
      </c>
      <c r="B75">
        <v>12</v>
      </c>
    </row>
    <row r="76" spans="1:2">
      <c r="A76" s="21" t="s">
        <v>109</v>
      </c>
      <c r="B76">
        <v>-5</v>
      </c>
    </row>
    <row r="77" spans="1:2">
      <c r="A77" s="23" t="s">
        <v>100</v>
      </c>
      <c r="B77">
        <v>-5</v>
      </c>
    </row>
    <row r="78" spans="1:2">
      <c r="A78" s="22">
        <v>45965</v>
      </c>
      <c r="B78">
        <v>-4</v>
      </c>
    </row>
    <row r="79" spans="1:2">
      <c r="A79" s="21" t="s">
        <v>98</v>
      </c>
      <c r="B79">
        <v>-9</v>
      </c>
    </row>
    <row r="80" spans="1:2">
      <c r="A80" s="23" t="s">
        <v>100</v>
      </c>
      <c r="B80">
        <v>-9</v>
      </c>
    </row>
    <row r="81" spans="1:2">
      <c r="A81" s="21" t="s">
        <v>109</v>
      </c>
      <c r="B81">
        <v>9</v>
      </c>
    </row>
    <row r="82" spans="1:2">
      <c r="A82" s="23" t="s">
        <v>100</v>
      </c>
      <c r="B82">
        <v>9</v>
      </c>
    </row>
    <row r="83" spans="1:2">
      <c r="A83" s="21" t="s">
        <v>94</v>
      </c>
      <c r="B83">
        <v>-2</v>
      </c>
    </row>
    <row r="84" spans="1:2">
      <c r="A84" s="23" t="s">
        <v>77</v>
      </c>
      <c r="B84">
        <v>-2</v>
      </c>
    </row>
    <row r="85" spans="1:2">
      <c r="A85" s="21" t="s">
        <v>76</v>
      </c>
      <c r="B85">
        <v>-10</v>
      </c>
    </row>
    <row r="86" spans="1:2">
      <c r="A86" s="23" t="s">
        <v>83</v>
      </c>
      <c r="B86">
        <v>-10</v>
      </c>
    </row>
    <row r="87" spans="1:2">
      <c r="A87" s="21" t="s">
        <v>87</v>
      </c>
      <c r="B87">
        <v>8</v>
      </c>
    </row>
    <row r="88" spans="1:2">
      <c r="A88" s="23" t="s">
        <v>77</v>
      </c>
      <c r="B88">
        <v>5</v>
      </c>
    </row>
    <row r="89" spans="1:2">
      <c r="A89" s="23" t="s">
        <v>83</v>
      </c>
      <c r="B89">
        <v>3</v>
      </c>
    </row>
    <row r="90" spans="1:2">
      <c r="A90" s="23" t="s">
        <v>91</v>
      </c>
      <c r="B90">
        <v>0</v>
      </c>
    </row>
    <row r="91" spans="1:2">
      <c r="A91" s="22">
        <v>45966</v>
      </c>
      <c r="B91">
        <v>7</v>
      </c>
    </row>
    <row r="92" spans="1:2">
      <c r="A92" s="21" t="s">
        <v>98</v>
      </c>
      <c r="B92">
        <v>13</v>
      </c>
    </row>
    <row r="93" spans="1:2">
      <c r="A93" s="23" t="s">
        <v>77</v>
      </c>
      <c r="B93">
        <v>13</v>
      </c>
    </row>
    <row r="94" spans="1:2">
      <c r="A94" s="21" t="s">
        <v>94</v>
      </c>
      <c r="B94">
        <v>-6</v>
      </c>
    </row>
    <row r="95" spans="1:2">
      <c r="A95" s="23" t="s">
        <v>100</v>
      </c>
      <c r="B95">
        <v>-6</v>
      </c>
    </row>
    <row r="96" spans="1:2">
      <c r="A96" s="21" t="s">
        <v>76</v>
      </c>
      <c r="B96">
        <v>4</v>
      </c>
    </row>
    <row r="97" spans="1:2">
      <c r="A97" s="23" t="s">
        <v>91</v>
      </c>
      <c r="B97">
        <v>4</v>
      </c>
    </row>
    <row r="98" spans="1:2">
      <c r="A98" s="21" t="s">
        <v>87</v>
      </c>
      <c r="B98">
        <v>-4</v>
      </c>
    </row>
    <row r="99" spans="1:2">
      <c r="A99" s="23" t="s">
        <v>91</v>
      </c>
      <c r="B99">
        <v>-4</v>
      </c>
    </row>
    <row r="100" spans="1:2">
      <c r="A100" s="22">
        <v>45967</v>
      </c>
      <c r="B100">
        <v>9</v>
      </c>
    </row>
    <row r="101" spans="1:2">
      <c r="A101" s="21" t="s">
        <v>98</v>
      </c>
      <c r="B101">
        <v>-3</v>
      </c>
    </row>
    <row r="102" spans="1:2">
      <c r="A102" s="23" t="s">
        <v>83</v>
      </c>
      <c r="B102">
        <v>-3</v>
      </c>
    </row>
    <row r="103" spans="1:2">
      <c r="A103" s="21" t="s">
        <v>109</v>
      </c>
      <c r="B103">
        <v>10</v>
      </c>
    </row>
    <row r="104" spans="1:2">
      <c r="A104" s="23" t="s">
        <v>83</v>
      </c>
      <c r="B104">
        <v>10</v>
      </c>
    </row>
    <row r="105" spans="1:2">
      <c r="A105" s="21" t="s">
        <v>87</v>
      </c>
      <c r="B105">
        <v>2</v>
      </c>
    </row>
    <row r="106" spans="1:2">
      <c r="A106" s="23" t="s">
        <v>100</v>
      </c>
      <c r="B106">
        <v>-1</v>
      </c>
    </row>
    <row r="107" spans="1:2">
      <c r="A107" s="23" t="s">
        <v>77</v>
      </c>
      <c r="B107">
        <v>3</v>
      </c>
    </row>
    <row r="108" spans="1:2">
      <c r="A108" s="22">
        <v>45968</v>
      </c>
      <c r="B108">
        <v>11</v>
      </c>
    </row>
    <row r="109" spans="1:2">
      <c r="A109" s="21" t="s">
        <v>109</v>
      </c>
      <c r="B109">
        <v>9</v>
      </c>
    </row>
    <row r="110" spans="1:2">
      <c r="A110" s="23" t="s">
        <v>77</v>
      </c>
      <c r="B110">
        <v>8</v>
      </c>
    </row>
    <row r="111" spans="1:2">
      <c r="A111" s="23" t="s">
        <v>83</v>
      </c>
      <c r="B111">
        <v>1</v>
      </c>
    </row>
    <row r="112" spans="1:2">
      <c r="A112" s="21" t="s">
        <v>76</v>
      </c>
      <c r="B112">
        <v>0</v>
      </c>
    </row>
    <row r="113" spans="1:2">
      <c r="A113" s="23" t="s">
        <v>100</v>
      </c>
      <c r="B113">
        <v>8</v>
      </c>
    </row>
    <row r="114" spans="1:2">
      <c r="A114" s="23" t="s">
        <v>91</v>
      </c>
      <c r="B114">
        <v>-8</v>
      </c>
    </row>
    <row r="115" spans="1:2">
      <c r="A115" s="21" t="s">
        <v>87</v>
      </c>
      <c r="B115">
        <v>2</v>
      </c>
    </row>
    <row r="116" spans="1:2">
      <c r="A116" s="23" t="s">
        <v>83</v>
      </c>
      <c r="B116">
        <v>2</v>
      </c>
    </row>
    <row r="117" spans="1:2">
      <c r="A117" s="22">
        <v>45969</v>
      </c>
      <c r="B117">
        <v>4</v>
      </c>
    </row>
    <row r="118" spans="1:2">
      <c r="A118" s="21" t="s">
        <v>98</v>
      </c>
      <c r="B118">
        <v>-1</v>
      </c>
    </row>
    <row r="119" spans="1:2">
      <c r="A119" s="23" t="s">
        <v>100</v>
      </c>
      <c r="B119">
        <v>-1</v>
      </c>
    </row>
    <row r="120" spans="1:2">
      <c r="A120" s="21" t="s">
        <v>94</v>
      </c>
      <c r="B120">
        <v>5</v>
      </c>
    </row>
    <row r="121" spans="1:2">
      <c r="A121" s="23" t="s">
        <v>100</v>
      </c>
      <c r="B121">
        <v>5</v>
      </c>
    </row>
    <row r="122" spans="1:2">
      <c r="A122" s="22">
        <v>45970</v>
      </c>
      <c r="B122">
        <v>11</v>
      </c>
    </row>
    <row r="123" spans="1:2">
      <c r="A123" s="21" t="s">
        <v>98</v>
      </c>
      <c r="B123">
        <v>11</v>
      </c>
    </row>
    <row r="124" spans="1:2">
      <c r="A124" s="23" t="s">
        <v>83</v>
      </c>
      <c r="B124">
        <v>11</v>
      </c>
    </row>
    <row r="125" spans="1:2">
      <c r="A125" s="21" t="s">
        <v>109</v>
      </c>
      <c r="B125">
        <v>0</v>
      </c>
    </row>
    <row r="126" spans="1:2">
      <c r="A126" s="23" t="s">
        <v>83</v>
      </c>
      <c r="B126">
        <v>0</v>
      </c>
    </row>
    <row r="127" spans="1:2">
      <c r="A127" s="21" t="s">
        <v>76</v>
      </c>
      <c r="B127">
        <v>1</v>
      </c>
    </row>
    <row r="128" spans="1:2">
      <c r="A128" s="23" t="s">
        <v>77</v>
      </c>
      <c r="B128">
        <v>6</v>
      </c>
    </row>
    <row r="129" spans="1:2">
      <c r="A129" s="23" t="s">
        <v>83</v>
      </c>
      <c r="B129">
        <v>-5</v>
      </c>
    </row>
    <row r="130" spans="1:2">
      <c r="A130" s="21" t="s">
        <v>87</v>
      </c>
      <c r="B130">
        <v>-1</v>
      </c>
    </row>
    <row r="131" spans="1:2">
      <c r="A131" s="23" t="s">
        <v>100</v>
      </c>
      <c r="B131">
        <v>0</v>
      </c>
    </row>
    <row r="132" spans="1:2">
      <c r="A132" s="23" t="s">
        <v>77</v>
      </c>
      <c r="B132">
        <v>-1</v>
      </c>
    </row>
    <row r="133" spans="1:2">
      <c r="A133" s="22">
        <v>45971</v>
      </c>
      <c r="B133">
        <v>29</v>
      </c>
    </row>
    <row r="134" spans="1:2">
      <c r="A134" s="21" t="s">
        <v>98</v>
      </c>
      <c r="B134">
        <v>11</v>
      </c>
    </row>
    <row r="135" spans="1:2">
      <c r="A135" s="23" t="s">
        <v>100</v>
      </c>
      <c r="B135">
        <v>11</v>
      </c>
    </row>
    <row r="136" spans="1:2">
      <c r="A136" s="23" t="s">
        <v>77</v>
      </c>
      <c r="B136">
        <v>0</v>
      </c>
    </row>
    <row r="137" spans="1:2">
      <c r="A137" s="21" t="s">
        <v>76</v>
      </c>
      <c r="B137">
        <v>-4</v>
      </c>
    </row>
    <row r="138" spans="1:2">
      <c r="A138" s="23" t="s">
        <v>100</v>
      </c>
      <c r="B138">
        <v>-4</v>
      </c>
    </row>
    <row r="139" spans="1:2">
      <c r="A139" s="21" t="s">
        <v>87</v>
      </c>
      <c r="B139">
        <v>22</v>
      </c>
    </row>
    <row r="140" spans="1:2">
      <c r="A140" s="23" t="s">
        <v>100</v>
      </c>
      <c r="B140">
        <v>4</v>
      </c>
    </row>
    <row r="141" spans="1:2">
      <c r="A141" s="23" t="s">
        <v>77</v>
      </c>
      <c r="B141">
        <v>11</v>
      </c>
    </row>
    <row r="142" spans="1:2">
      <c r="A142" s="23" t="s">
        <v>83</v>
      </c>
      <c r="B142">
        <v>7</v>
      </c>
    </row>
    <row r="143" spans="1:2">
      <c r="A143" s="22">
        <v>45972</v>
      </c>
      <c r="B143">
        <v>22</v>
      </c>
    </row>
    <row r="144" spans="1:2">
      <c r="A144" s="21" t="s">
        <v>98</v>
      </c>
      <c r="B144">
        <v>-10</v>
      </c>
    </row>
    <row r="145" spans="1:2">
      <c r="A145" s="23" t="s">
        <v>83</v>
      </c>
      <c r="B145">
        <v>-10</v>
      </c>
    </row>
    <row r="146" spans="1:2">
      <c r="A146" s="21" t="s">
        <v>109</v>
      </c>
      <c r="B146">
        <v>20</v>
      </c>
    </row>
    <row r="147" spans="1:2">
      <c r="A147" s="23" t="s">
        <v>77</v>
      </c>
      <c r="B147">
        <v>9</v>
      </c>
    </row>
    <row r="148" spans="1:2">
      <c r="A148" s="23" t="s">
        <v>91</v>
      </c>
      <c r="B148">
        <v>11</v>
      </c>
    </row>
    <row r="149" spans="1:2">
      <c r="A149" s="21" t="s">
        <v>94</v>
      </c>
      <c r="B149">
        <v>6</v>
      </c>
    </row>
    <row r="150" spans="1:2">
      <c r="A150" s="23" t="s">
        <v>83</v>
      </c>
      <c r="B150">
        <v>6</v>
      </c>
    </row>
    <row r="151" spans="1:2">
      <c r="A151" s="21" t="s">
        <v>76</v>
      </c>
      <c r="B151">
        <v>6</v>
      </c>
    </row>
    <row r="152" spans="1:2">
      <c r="A152" s="23" t="s">
        <v>77</v>
      </c>
      <c r="B152">
        <v>6</v>
      </c>
    </row>
    <row r="153" spans="1:2">
      <c r="A153" s="22">
        <v>45973</v>
      </c>
      <c r="B153">
        <v>32</v>
      </c>
    </row>
    <row r="154" spans="1:2">
      <c r="A154" s="21" t="s">
        <v>98</v>
      </c>
      <c r="B154">
        <v>12</v>
      </c>
    </row>
    <row r="155" spans="1:2">
      <c r="A155" s="23" t="s">
        <v>100</v>
      </c>
      <c r="B155">
        <v>3</v>
      </c>
    </row>
    <row r="156" spans="1:2">
      <c r="A156" s="23" t="s">
        <v>77</v>
      </c>
      <c r="B156">
        <v>9</v>
      </c>
    </row>
    <row r="157" spans="1:2">
      <c r="A157" s="21" t="s">
        <v>109</v>
      </c>
      <c r="B157">
        <v>2</v>
      </c>
    </row>
    <row r="158" spans="1:2">
      <c r="A158" s="23" t="s">
        <v>100</v>
      </c>
      <c r="B158">
        <v>5</v>
      </c>
    </row>
    <row r="159" spans="1:2">
      <c r="A159" s="23" t="s">
        <v>83</v>
      </c>
      <c r="B159">
        <v>-3</v>
      </c>
    </row>
    <row r="160" spans="1:2">
      <c r="A160" s="21" t="s">
        <v>94</v>
      </c>
      <c r="B160">
        <v>10</v>
      </c>
    </row>
    <row r="161" spans="1:2">
      <c r="A161" s="23" t="s">
        <v>100</v>
      </c>
      <c r="B161">
        <v>7</v>
      </c>
    </row>
    <row r="162" spans="1:2">
      <c r="A162" s="23" t="s">
        <v>77</v>
      </c>
      <c r="B162">
        <v>3</v>
      </c>
    </row>
    <row r="163" spans="1:2">
      <c r="A163" s="21" t="s">
        <v>76</v>
      </c>
      <c r="B163">
        <v>8</v>
      </c>
    </row>
    <row r="164" spans="1:2">
      <c r="A164" s="23" t="s">
        <v>77</v>
      </c>
      <c r="B164">
        <v>8</v>
      </c>
    </row>
    <row r="165" spans="1:2">
      <c r="A165" s="22">
        <v>45974</v>
      </c>
      <c r="B165">
        <v>19</v>
      </c>
    </row>
    <row r="166" spans="1:2">
      <c r="A166" s="21" t="s">
        <v>98</v>
      </c>
      <c r="B166">
        <v>-1</v>
      </c>
    </row>
    <row r="167" spans="1:2">
      <c r="A167" s="23" t="s">
        <v>100</v>
      </c>
      <c r="B167">
        <v>-1</v>
      </c>
    </row>
    <row r="168" spans="1:2">
      <c r="A168" s="21" t="s">
        <v>109</v>
      </c>
      <c r="B168">
        <v>11</v>
      </c>
    </row>
    <row r="169" spans="1:2">
      <c r="A169" s="23" t="s">
        <v>100</v>
      </c>
      <c r="B169">
        <v>11</v>
      </c>
    </row>
    <row r="170" spans="1:2">
      <c r="A170" s="21" t="s">
        <v>94</v>
      </c>
      <c r="B170">
        <v>13</v>
      </c>
    </row>
    <row r="171" spans="1:2">
      <c r="A171" s="23" t="s">
        <v>77</v>
      </c>
      <c r="B171">
        <v>11</v>
      </c>
    </row>
    <row r="172" spans="1:2">
      <c r="A172" s="23" t="s">
        <v>83</v>
      </c>
      <c r="B172">
        <v>2</v>
      </c>
    </row>
    <row r="173" spans="1:2">
      <c r="A173" s="21" t="s">
        <v>76</v>
      </c>
      <c r="B173">
        <v>-4</v>
      </c>
    </row>
    <row r="174" spans="1:2">
      <c r="A174" s="23" t="s">
        <v>83</v>
      </c>
      <c r="B174">
        <v>-4</v>
      </c>
    </row>
    <row r="175" spans="1:2">
      <c r="A175" s="22">
        <v>45975</v>
      </c>
      <c r="B175">
        <v>5</v>
      </c>
    </row>
    <row r="176" spans="1:2">
      <c r="A176" s="21" t="s">
        <v>98</v>
      </c>
      <c r="B176">
        <v>3</v>
      </c>
    </row>
    <row r="177" spans="1:2">
      <c r="A177" s="23" t="s">
        <v>91</v>
      </c>
      <c r="B177">
        <v>3</v>
      </c>
    </row>
    <row r="178" spans="1:2">
      <c r="A178" s="21" t="s">
        <v>109</v>
      </c>
      <c r="B178">
        <v>10</v>
      </c>
    </row>
    <row r="179" spans="1:2">
      <c r="A179" s="23" t="s">
        <v>91</v>
      </c>
      <c r="B179">
        <v>10</v>
      </c>
    </row>
    <row r="180" spans="1:2">
      <c r="A180" s="21" t="s">
        <v>94</v>
      </c>
      <c r="B180">
        <v>-8</v>
      </c>
    </row>
    <row r="181" spans="1:2">
      <c r="A181" s="23" t="s">
        <v>100</v>
      </c>
      <c r="B181">
        <v>-8</v>
      </c>
    </row>
    <row r="182" spans="1:2">
      <c r="A182" s="22" t="s">
        <v>191</v>
      </c>
      <c r="B182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zoomScale="89" workbookViewId="0">
      <selection activeCell="B6" sqref="B6"/>
    </sheetView>
  </sheetViews>
  <sheetFormatPr defaultRowHeight="14.4"/>
  <cols>
    <col min="1" max="1" width="10.33203125" bestFit="1" customWidth="1"/>
    <col min="2" max="2" width="20" bestFit="1" customWidth="1"/>
    <col min="3" max="3" width="14.6640625" bestFit="1" customWidth="1"/>
    <col min="4" max="4" width="24.88671875" bestFit="1" customWidth="1"/>
    <col min="5" max="5" width="10.88671875" customWidth="1"/>
    <col min="6" max="6" width="26.6640625" bestFit="1" customWidth="1"/>
    <col min="7" max="10" width="11" bestFit="1" customWidth="1"/>
    <col min="11" max="11" width="10.6640625" bestFit="1" customWidth="1"/>
    <col min="12" max="12" width="10.33203125" bestFit="1" customWidth="1"/>
    <col min="13" max="18" width="10.6640625" bestFit="1" customWidth="1"/>
  </cols>
  <sheetData>
    <row r="1" spans="1:7">
      <c r="A1" s="10" t="s">
        <v>63</v>
      </c>
      <c r="B1" s="11" t="s">
        <v>193</v>
      </c>
      <c r="C1" s="12" t="s">
        <v>192</v>
      </c>
      <c r="D1" s="13" t="s">
        <v>196</v>
      </c>
      <c r="E1" s="14" t="s">
        <v>195</v>
      </c>
      <c r="F1" s="15" t="s">
        <v>194</v>
      </c>
      <c r="G1" s="14" t="s">
        <v>195</v>
      </c>
    </row>
    <row r="2" spans="1:7">
      <c r="A2" s="9">
        <v>45962</v>
      </c>
      <c r="B2">
        <f>VLOOKUP(A2,RawDataTable[#All],8,FALSE)</f>
        <v>367</v>
      </c>
      <c r="C2">
        <f>VLOOKUP(A2,RawDataTable[#All],9,FALSE)</f>
        <v>369</v>
      </c>
      <c r="D2" t="e">
        <v>#N/A</v>
      </c>
      <c r="E2" t="e">
        <v>#N/A</v>
      </c>
      <c r="F2" t="e">
        <v>#N/A</v>
      </c>
      <c r="G2" t="e">
        <v>#N/A</v>
      </c>
    </row>
    <row r="3" spans="1:7">
      <c r="A3" s="8">
        <v>45963</v>
      </c>
      <c r="B3">
        <f>VLOOKUP(A3,RawDataTable[#All],8,FALSE)</f>
        <v>258</v>
      </c>
      <c r="C3">
        <f>VLOOKUP(A3,RawDataTable[#All],9,FALSE)</f>
        <v>251</v>
      </c>
      <c r="D3" t="e">
        <v>#N/A</v>
      </c>
      <c r="E3" t="e">
        <v>#N/A</v>
      </c>
      <c r="F3" t="e">
        <v>#N/A</v>
      </c>
      <c r="G3" t="e">
        <v>#N/A</v>
      </c>
    </row>
    <row r="4" spans="1:7">
      <c r="A4" s="8">
        <v>45964</v>
      </c>
      <c r="B4">
        <f>VLOOKUP(A4,RawDataTable[#All],8,FALSE)</f>
        <v>133</v>
      </c>
      <c r="C4">
        <f>VLOOKUP(A4,RawDataTable[#All],9,FALSE)</f>
        <v>145</v>
      </c>
      <c r="D4">
        <f t="shared" ref="D4:D15" si="0">AVERAGE(B2:B4)</f>
        <v>252.66666666666666</v>
      </c>
      <c r="E4" t="e">
        <v>#N/A</v>
      </c>
      <c r="F4">
        <f t="shared" ref="F4:F15" si="1">AVERAGE(C2:C4)</f>
        <v>255</v>
      </c>
      <c r="G4" t="e">
        <v>#N/A</v>
      </c>
    </row>
    <row r="5" spans="1:7">
      <c r="A5" s="8">
        <v>45965</v>
      </c>
      <c r="B5">
        <f>VLOOKUP(A5,RawDataTable[#All],8,FALSE)</f>
        <v>171</v>
      </c>
      <c r="C5">
        <f>VLOOKUP(A5,RawDataTable[#All],9,FALSE)</f>
        <v>169</v>
      </c>
      <c r="D5">
        <f t="shared" si="0"/>
        <v>187.33333333333334</v>
      </c>
      <c r="E5" t="e">
        <v>#N/A</v>
      </c>
      <c r="F5">
        <f t="shared" si="1"/>
        <v>188.33333333333334</v>
      </c>
      <c r="G5" t="e">
        <v>#N/A</v>
      </c>
    </row>
    <row r="6" spans="1:7">
      <c r="A6" s="8">
        <v>45966</v>
      </c>
      <c r="B6">
        <f>VLOOKUP(A6,RawDataTable[#All],8,FALSE)</f>
        <v>129</v>
      </c>
      <c r="C6">
        <f>VLOOKUP(A6,RawDataTable[#All],9,FALSE)</f>
        <v>125</v>
      </c>
      <c r="D6">
        <f t="shared" si="0"/>
        <v>144.33333333333334</v>
      </c>
      <c r="E6">
        <f t="shared" ref="E6:E15" si="2">SQRT(SUMXMY2(B4:B6,D4:D6)/3)</f>
        <v>70.289875989837014</v>
      </c>
      <c r="F6">
        <f t="shared" si="1"/>
        <v>146.33333333333334</v>
      </c>
      <c r="G6">
        <f t="shared" ref="G6:G15" si="3">SQRT(SUMXMY2(C4:C6,F4:F6)/3)</f>
        <v>65.647769418538729</v>
      </c>
    </row>
    <row r="7" spans="1:7">
      <c r="A7" s="8">
        <v>45967</v>
      </c>
      <c r="B7">
        <f>VLOOKUP(A7,RawDataTable[#All],8,FALSE)</f>
        <v>166</v>
      </c>
      <c r="C7">
        <f>VLOOKUP(A7,RawDataTable[#All],9,FALSE)</f>
        <v>165</v>
      </c>
      <c r="D7">
        <f t="shared" si="0"/>
        <v>155.33333333333334</v>
      </c>
      <c r="E7">
        <f t="shared" si="2"/>
        <v>14.32557929796287</v>
      </c>
      <c r="F7">
        <f t="shared" si="1"/>
        <v>153</v>
      </c>
      <c r="G7">
        <f t="shared" si="3"/>
        <v>18.008228571858382</v>
      </c>
    </row>
    <row r="8" spans="1:7">
      <c r="A8" s="8">
        <v>45968</v>
      </c>
      <c r="B8">
        <f>VLOOKUP(A8,RawDataTable[#All],8,FALSE)</f>
        <v>220</v>
      </c>
      <c r="C8">
        <f>VLOOKUP(A8,RawDataTable[#All],9,FALSE)</f>
        <v>221</v>
      </c>
      <c r="D8">
        <f t="shared" si="0"/>
        <v>171.66666666666666</v>
      </c>
      <c r="E8">
        <f t="shared" si="2"/>
        <v>29.91655060330319</v>
      </c>
      <c r="F8">
        <f t="shared" si="1"/>
        <v>170.33333333333334</v>
      </c>
      <c r="G8">
        <f t="shared" si="3"/>
        <v>32.487034450799094</v>
      </c>
    </row>
    <row r="9" spans="1:7">
      <c r="A9" s="8">
        <v>45969</v>
      </c>
      <c r="B9">
        <f>VLOOKUP(A9,RawDataTable[#All],8,FALSE)</f>
        <v>489</v>
      </c>
      <c r="C9">
        <f>VLOOKUP(A9,RawDataTable[#All],9,FALSE)</f>
        <v>488</v>
      </c>
      <c r="D9">
        <f t="shared" si="0"/>
        <v>291.66666666666669</v>
      </c>
      <c r="E9">
        <f t="shared" si="2"/>
        <v>117.45968575548709</v>
      </c>
      <c r="F9">
        <f t="shared" si="1"/>
        <v>291.33333333333331</v>
      </c>
      <c r="G9">
        <f t="shared" si="3"/>
        <v>117.45763617703321</v>
      </c>
    </row>
    <row r="10" spans="1:7">
      <c r="A10" s="8">
        <v>45970</v>
      </c>
      <c r="B10">
        <f>VLOOKUP(A10,RawDataTable[#All],8,FALSE)</f>
        <v>62</v>
      </c>
      <c r="C10">
        <f>VLOOKUP(A10,RawDataTable[#All],9,FALSE)</f>
        <v>73</v>
      </c>
      <c r="D10">
        <f t="shared" si="0"/>
        <v>257</v>
      </c>
      <c r="E10">
        <f t="shared" si="2"/>
        <v>162.58490659299176</v>
      </c>
      <c r="F10">
        <f t="shared" si="1"/>
        <v>260.66666666666669</v>
      </c>
      <c r="G10">
        <f t="shared" si="3"/>
        <v>159.64926836314939</v>
      </c>
    </row>
    <row r="11" spans="1:7">
      <c r="A11" s="8">
        <v>45971</v>
      </c>
      <c r="B11">
        <f>VLOOKUP(A11,RawDataTable[#All],8,FALSE)</f>
        <v>427</v>
      </c>
      <c r="C11">
        <f>VLOOKUP(A11,RawDataTable[#All],9,FALSE)</f>
        <v>423</v>
      </c>
      <c r="D11">
        <f t="shared" si="0"/>
        <v>326</v>
      </c>
      <c r="E11">
        <f t="shared" si="2"/>
        <v>170.45668505952318</v>
      </c>
      <c r="F11">
        <f t="shared" si="1"/>
        <v>328</v>
      </c>
      <c r="G11">
        <f t="shared" si="3"/>
        <v>166.25437894539357</v>
      </c>
    </row>
    <row r="12" spans="1:7">
      <c r="A12" s="8">
        <v>45972</v>
      </c>
      <c r="B12">
        <f>VLOOKUP(A12,RawDataTable[#All],8,FALSE)</f>
        <v>497</v>
      </c>
      <c r="C12">
        <f>VLOOKUP(A12,RawDataTable[#All],9,FALSE)</f>
        <v>503</v>
      </c>
      <c r="D12">
        <f t="shared" si="0"/>
        <v>328.66666666666669</v>
      </c>
      <c r="E12">
        <f t="shared" si="2"/>
        <v>159.75200688474527</v>
      </c>
      <c r="F12">
        <f t="shared" si="1"/>
        <v>333</v>
      </c>
      <c r="G12">
        <f t="shared" si="3"/>
        <v>156.14499434582993</v>
      </c>
    </row>
    <row r="13" spans="1:7">
      <c r="A13" s="8">
        <v>45973</v>
      </c>
      <c r="B13">
        <f>VLOOKUP(A13,RawDataTable[#All],8,FALSE)</f>
        <v>433</v>
      </c>
      <c r="C13">
        <f>VLOOKUP(A13,RawDataTable[#All],9,FALSE)</f>
        <v>441</v>
      </c>
      <c r="D13">
        <f t="shared" si="0"/>
        <v>452.33333333333331</v>
      </c>
      <c r="E13">
        <f t="shared" si="2"/>
        <v>113.88720865969231</v>
      </c>
      <c r="F13">
        <f t="shared" si="1"/>
        <v>455.66666666666669</v>
      </c>
      <c r="G13">
        <f t="shared" si="3"/>
        <v>112.75358251678911</v>
      </c>
    </row>
    <row r="14" spans="1:7">
      <c r="A14" s="8">
        <v>45974</v>
      </c>
      <c r="B14">
        <f>VLOOKUP(A14,RawDataTable[#All],8,FALSE)</f>
        <v>152</v>
      </c>
      <c r="C14">
        <f>VLOOKUP(A14,RawDataTable[#All],9,FALSE)</f>
        <v>148</v>
      </c>
      <c r="D14">
        <f t="shared" si="0"/>
        <v>360.66666666666669</v>
      </c>
      <c r="E14">
        <f t="shared" si="2"/>
        <v>155.18984789247295</v>
      </c>
      <c r="F14">
        <f t="shared" si="1"/>
        <v>364</v>
      </c>
      <c r="G14">
        <f t="shared" si="3"/>
        <v>158.92462690545173</v>
      </c>
    </row>
    <row r="15" spans="1:7">
      <c r="A15" s="8">
        <v>45975</v>
      </c>
      <c r="B15">
        <f>VLOOKUP(A15,RawDataTable[#All],8,FALSE)</f>
        <v>468</v>
      </c>
      <c r="C15">
        <f>VLOOKUP(A15,RawDataTable[#All],9,FALSE)</f>
        <v>471</v>
      </c>
      <c r="D15">
        <f t="shared" si="0"/>
        <v>351</v>
      </c>
      <c r="E15">
        <f t="shared" si="2"/>
        <v>138.56954397889359</v>
      </c>
      <c r="F15">
        <f t="shared" si="1"/>
        <v>353.33333333333331</v>
      </c>
      <c r="G15">
        <f t="shared" si="3"/>
        <v>142.26331871516231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7" sqref="B7"/>
    </sheetView>
  </sheetViews>
  <sheetFormatPr defaultRowHeight="14.4"/>
  <cols>
    <col min="1" max="1" width="19.5546875" bestFit="1" customWidth="1"/>
  </cols>
  <sheetData>
    <row r="1" spans="1:2">
      <c r="A1" s="2" t="s">
        <v>176</v>
      </c>
      <c r="B1" s="2" t="s">
        <v>177</v>
      </c>
    </row>
    <row r="2" spans="1:2">
      <c r="A2" t="s">
        <v>178</v>
      </c>
      <c r="B2">
        <f>COUNTA(RawData!A2:A81)</f>
        <v>80</v>
      </c>
    </row>
    <row r="3" spans="1:2">
      <c r="A3" t="s">
        <v>179</v>
      </c>
      <c r="B3">
        <f>SUM(RawData!H2:H81)</f>
        <v>23246</v>
      </c>
    </row>
    <row r="4" spans="1:2">
      <c r="A4" t="s">
        <v>180</v>
      </c>
      <c r="B4">
        <f>SUM(RawData!I2:I81)</f>
        <v>23415</v>
      </c>
    </row>
    <row r="5" spans="1:2">
      <c r="A5" t="s">
        <v>181</v>
      </c>
      <c r="B5">
        <f>SUMPRODUCT(ABS(RawData!J2:J81))</f>
        <v>465</v>
      </c>
    </row>
    <row r="6" spans="1:2">
      <c r="A6" t="s">
        <v>182</v>
      </c>
      <c r="B6">
        <f>COUNTIF(RawData!K2:K81,"Match")</f>
        <v>5</v>
      </c>
    </row>
    <row r="7" spans="1:2">
      <c r="A7" t="s">
        <v>183</v>
      </c>
      <c r="B7">
        <f>COUNTIF(RawData!K2:K81,"Short")</f>
        <v>31</v>
      </c>
    </row>
    <row r="8" spans="1:2">
      <c r="A8" t="s">
        <v>184</v>
      </c>
      <c r="B8">
        <f>COUNTIF(RawData!K2:K81,"Over")</f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F16" sqref="F16"/>
    </sheetView>
  </sheetViews>
  <sheetFormatPr defaultRowHeight="14.4"/>
  <cols>
    <col min="2" max="2" width="10.44140625" bestFit="1" customWidth="1"/>
    <col min="3" max="3" width="13.6640625" bestFit="1" customWidth="1"/>
    <col min="4" max="4" width="14.109375" bestFit="1" customWidth="1"/>
  </cols>
  <sheetData>
    <row r="1" spans="1:5">
      <c r="A1" s="2" t="s">
        <v>65</v>
      </c>
      <c r="B1" s="2" t="s">
        <v>66</v>
      </c>
      <c r="C1" s="2" t="s">
        <v>185</v>
      </c>
      <c r="D1" s="2" t="s">
        <v>186</v>
      </c>
      <c r="E1" s="2" t="s">
        <v>187</v>
      </c>
    </row>
    <row r="2" spans="1:5">
      <c r="A2" t="s">
        <v>98</v>
      </c>
      <c r="B2" t="s">
        <v>77</v>
      </c>
      <c r="C2">
        <f>SUMIFS(RawData!H2:H81,RawData!C2:C81,$A2,RawData!D2:D81,$B2)</f>
        <v>1091</v>
      </c>
      <c r="D2">
        <f>SUMIFS(RawData!I2:I81,RawData!C2:C81,$A2,RawData!D2:D81,$B2)</f>
        <v>1105</v>
      </c>
      <c r="E2">
        <f t="shared" ref="E2:E21" si="0">D2-C2</f>
        <v>14</v>
      </c>
    </row>
    <row r="3" spans="1:5">
      <c r="A3" t="s">
        <v>98</v>
      </c>
      <c r="B3" t="s">
        <v>83</v>
      </c>
      <c r="C3">
        <f>SUMIFS(RawData!H2:H81,RawData!C2:C81,$A3,RawData!D2:D81,$B3)</f>
        <v>752</v>
      </c>
      <c r="D3">
        <f>SUMIFS(RawData!I2:I81,RawData!C2:C81,$A3,RawData!D2:D81,$B3)</f>
        <v>757</v>
      </c>
      <c r="E3">
        <f t="shared" si="0"/>
        <v>5</v>
      </c>
    </row>
    <row r="4" spans="1:5">
      <c r="A4" t="s">
        <v>98</v>
      </c>
      <c r="B4" t="s">
        <v>91</v>
      </c>
      <c r="C4">
        <f>SUMIFS(RawData!H2:H81,RawData!C2:C81,$A4,RawData!D2:D81,$B4)</f>
        <v>601</v>
      </c>
      <c r="D4">
        <f>SUMIFS(RawData!I2:I81,RawData!C2:C81,$A4,RawData!D2:D81,$B4)</f>
        <v>616</v>
      </c>
      <c r="E4">
        <f t="shared" si="0"/>
        <v>15</v>
      </c>
    </row>
    <row r="5" spans="1:5">
      <c r="A5" t="s">
        <v>98</v>
      </c>
      <c r="B5" t="s">
        <v>100</v>
      </c>
      <c r="C5">
        <f>SUMIFS(RawData!H2:H81,RawData!C2:C81,$A5,RawData!D2:D81,$B5)</f>
        <v>2206</v>
      </c>
      <c r="D5">
        <f>SUMIFS(RawData!I2:I81,RawData!C2:C81,$A5,RawData!D2:D81,$B5)</f>
        <v>2220</v>
      </c>
      <c r="E5">
        <f t="shared" si="0"/>
        <v>14</v>
      </c>
    </row>
    <row r="6" spans="1:5">
      <c r="A6" t="s">
        <v>109</v>
      </c>
      <c r="B6" t="s">
        <v>77</v>
      </c>
      <c r="C6">
        <f>SUMIFS(RawData!H2:H81,RawData!C2:C81,$A6,RawData!D2:D81,$B6)</f>
        <v>891</v>
      </c>
      <c r="D6">
        <f>SUMIFS(RawData!I2:I81,RawData!C2:C81,$A6,RawData!D2:D81,$B6)</f>
        <v>902</v>
      </c>
      <c r="E6">
        <f t="shared" si="0"/>
        <v>11</v>
      </c>
    </row>
    <row r="7" spans="1:5">
      <c r="A7" t="s">
        <v>109</v>
      </c>
      <c r="B7" t="s">
        <v>83</v>
      </c>
      <c r="C7">
        <f>SUMIFS(RawData!H2:H81,RawData!C2:C81,$A7,RawData!D2:D81,$B7)</f>
        <v>1525</v>
      </c>
      <c r="D7">
        <f>SUMIFS(RawData!I2:I81,RawData!C2:C81,$A7,RawData!D2:D81,$B7)</f>
        <v>1536</v>
      </c>
      <c r="E7">
        <f t="shared" si="0"/>
        <v>11</v>
      </c>
    </row>
    <row r="8" spans="1:5">
      <c r="A8" t="s">
        <v>109</v>
      </c>
      <c r="B8" t="s">
        <v>91</v>
      </c>
      <c r="C8">
        <f>SUMIFS(RawData!H2:H81,RawData!C2:C81,$A8,RawData!D2:D81,$B8)</f>
        <v>756</v>
      </c>
      <c r="D8">
        <f>SUMIFS(RawData!I2:I81,RawData!C2:C81,$A8,RawData!D2:D81,$B8)</f>
        <v>777</v>
      </c>
      <c r="E8">
        <f t="shared" si="0"/>
        <v>21</v>
      </c>
    </row>
    <row r="9" spans="1:5">
      <c r="A9" t="s">
        <v>109</v>
      </c>
      <c r="B9" t="s">
        <v>100</v>
      </c>
      <c r="C9">
        <f>SUMIFS(RawData!H2:H81,RawData!C2:C81,$A9,RawData!D2:D81,$B9)</f>
        <v>2368</v>
      </c>
      <c r="D9">
        <f>SUMIFS(RawData!I2:I81,RawData!C2:C81,$A9,RawData!D2:D81,$B9)</f>
        <v>2384</v>
      </c>
      <c r="E9">
        <f t="shared" si="0"/>
        <v>16</v>
      </c>
    </row>
    <row r="10" spans="1:5">
      <c r="A10" t="s">
        <v>94</v>
      </c>
      <c r="B10" t="s">
        <v>77</v>
      </c>
      <c r="C10">
        <f>SUMIFS(RawData!H2:H81,RawData!C2:C81,$A10,RawData!D2:D81,$B10)</f>
        <v>659</v>
      </c>
      <c r="D10">
        <f>SUMIFS(RawData!I2:I81,RawData!C2:C81,$A10,RawData!D2:D81,$B10)</f>
        <v>664</v>
      </c>
      <c r="E10">
        <f t="shared" si="0"/>
        <v>5</v>
      </c>
    </row>
    <row r="11" spans="1:5">
      <c r="A11" t="s">
        <v>94</v>
      </c>
      <c r="B11" t="s">
        <v>83</v>
      </c>
      <c r="C11">
        <f>SUMIFS(RawData!H2:H81,RawData!C2:C81,$A11,RawData!D2:D81,$B11)</f>
        <v>433</v>
      </c>
      <c r="D11">
        <f>SUMIFS(RawData!I2:I81,RawData!C2:C81,$A11,RawData!D2:D81,$B11)</f>
        <v>452</v>
      </c>
      <c r="E11">
        <f t="shared" si="0"/>
        <v>19</v>
      </c>
    </row>
    <row r="12" spans="1:5">
      <c r="A12" t="s">
        <v>94</v>
      </c>
      <c r="B12" t="s">
        <v>91</v>
      </c>
      <c r="C12">
        <f>SUMIFS(RawData!H2:H81,RawData!C2:C81,$A12,RawData!D2:D81,$B12)</f>
        <v>0</v>
      </c>
      <c r="D12">
        <f>SUMIFS(RawData!I2:I81,RawData!C2:C81,$A12,RawData!D2:D81,$B12)</f>
        <v>0</v>
      </c>
      <c r="E12">
        <f t="shared" si="0"/>
        <v>0</v>
      </c>
    </row>
    <row r="13" spans="1:5">
      <c r="A13" t="s">
        <v>94</v>
      </c>
      <c r="B13" t="s">
        <v>100</v>
      </c>
      <c r="C13">
        <f>SUMIFS(RawData!H2:H81,RawData!C2:C81,$A13,RawData!D2:D81,$B13)</f>
        <v>1646</v>
      </c>
      <c r="D13">
        <f>SUMIFS(RawData!I2:I81,RawData!C2:C81,$A13,RawData!D2:D81,$B13)</f>
        <v>1666</v>
      </c>
      <c r="E13">
        <f t="shared" si="0"/>
        <v>20</v>
      </c>
    </row>
    <row r="14" spans="1:5">
      <c r="A14" t="s">
        <v>76</v>
      </c>
      <c r="B14" t="s">
        <v>77</v>
      </c>
      <c r="C14">
        <f>SUMIFS(RawData!H2:H81,RawData!C2:C81,$A14,RawData!D2:D81,$B14)</f>
        <v>1563</v>
      </c>
      <c r="D14">
        <f>SUMIFS(RawData!I2:I81,RawData!C2:C81,$A14,RawData!D2:D81,$B14)</f>
        <v>1586</v>
      </c>
      <c r="E14">
        <f t="shared" si="0"/>
        <v>23</v>
      </c>
    </row>
    <row r="15" spans="1:5">
      <c r="A15" t="s">
        <v>76</v>
      </c>
      <c r="B15" t="s">
        <v>83</v>
      </c>
      <c r="C15">
        <f>SUMIFS(RawData!H2:H81,RawData!C2:C81,$A15,RawData!D2:D81,$B15)</f>
        <v>1016</v>
      </c>
      <c r="D15">
        <f>SUMIFS(RawData!I2:I81,RawData!C2:C81,$A15,RawData!D2:D81,$B15)</f>
        <v>990</v>
      </c>
      <c r="E15">
        <f t="shared" si="0"/>
        <v>-26</v>
      </c>
    </row>
    <row r="16" spans="1:5">
      <c r="A16" t="s">
        <v>76</v>
      </c>
      <c r="B16" t="s">
        <v>91</v>
      </c>
      <c r="C16">
        <f>SUMIFS(RawData!H2:H81,RawData!C2:C81,$A16,RawData!D2:D81,$B16)</f>
        <v>419</v>
      </c>
      <c r="D16">
        <f>SUMIFS(RawData!I2:I81,RawData!C2:C81,$A16,RawData!D2:D81,$B16)</f>
        <v>415</v>
      </c>
      <c r="E16">
        <f t="shared" si="0"/>
        <v>-4</v>
      </c>
    </row>
    <row r="17" spans="1:5">
      <c r="A17" t="s">
        <v>76</v>
      </c>
      <c r="B17" t="s">
        <v>100</v>
      </c>
      <c r="C17">
        <f>SUMIFS(RawData!H2:H81,RawData!C2:C81,$A17,RawData!D2:D81,$B17)</f>
        <v>919</v>
      </c>
      <c r="D17">
        <f>SUMIFS(RawData!I2:I81,RawData!C2:C81,$A17,RawData!D2:D81,$B17)</f>
        <v>923</v>
      </c>
      <c r="E17">
        <f t="shared" si="0"/>
        <v>4</v>
      </c>
    </row>
    <row r="18" spans="1:5">
      <c r="A18" t="s">
        <v>87</v>
      </c>
      <c r="B18" t="s">
        <v>77</v>
      </c>
      <c r="C18">
        <f>SUMIFS(RawData!H2:H81,RawData!C2:C81,$A18,RawData!D2:D81,$B18)</f>
        <v>2114</v>
      </c>
      <c r="D18">
        <f>SUMIFS(RawData!I2:I81,RawData!C2:C81,$A18,RawData!D2:D81,$B18)</f>
        <v>2139</v>
      </c>
      <c r="E18">
        <f t="shared" si="0"/>
        <v>25</v>
      </c>
    </row>
    <row r="19" spans="1:5">
      <c r="A19" t="s">
        <v>87</v>
      </c>
      <c r="B19" t="s">
        <v>83</v>
      </c>
      <c r="C19">
        <f>SUMIFS(RawData!H2:H81,RawData!C2:C81,$A19,RawData!D2:D81,$B19)</f>
        <v>2311</v>
      </c>
      <c r="D19">
        <f>SUMIFS(RawData!I2:I81,RawData!C2:C81,$A19,RawData!D2:D81,$B19)</f>
        <v>2312</v>
      </c>
      <c r="E19">
        <f t="shared" si="0"/>
        <v>1</v>
      </c>
    </row>
    <row r="20" spans="1:5">
      <c r="A20" t="s">
        <v>87</v>
      </c>
      <c r="B20" t="s">
        <v>91</v>
      </c>
      <c r="C20">
        <f>SUMIFS(RawData!H2:H81,RawData!C2:C81,$A20,RawData!D2:D81,$B20)</f>
        <v>918</v>
      </c>
      <c r="D20">
        <f>SUMIFS(RawData!I2:I81,RawData!C2:C81,$A20,RawData!D2:D81,$B20)</f>
        <v>910</v>
      </c>
      <c r="E20">
        <f t="shared" si="0"/>
        <v>-8</v>
      </c>
    </row>
    <row r="21" spans="1:5">
      <c r="A21" t="s">
        <v>87</v>
      </c>
      <c r="B21" t="s">
        <v>100</v>
      </c>
      <c r="C21">
        <f>SUMIFS(RawData!H2:H81,RawData!C2:C81,$A21,RawData!D2:D81,$B21)</f>
        <v>1058</v>
      </c>
      <c r="D21">
        <f>SUMIFS(RawData!I2:I81,RawData!C2:C81,$A21,RawData!D2:D81,$B21)</f>
        <v>1061</v>
      </c>
      <c r="E21">
        <f t="shared" si="0"/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5B4C-C20B-4A1D-B14C-447B0455453F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Sampul</vt:lpstr>
      <vt:lpstr>ComponentsMaster</vt:lpstr>
      <vt:lpstr>RawData</vt:lpstr>
      <vt:lpstr>Pivot Table</vt:lpstr>
      <vt:lpstr>Forecast Target&amp;Actual</vt:lpstr>
      <vt:lpstr>Summary_Calculations</vt:lpstr>
      <vt:lpstr>Balance_Check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Riska Amylatul Askiyah</cp:lastModifiedBy>
  <dcterms:created xsi:type="dcterms:W3CDTF">2025-11-15T09:23:25Z</dcterms:created>
  <dcterms:modified xsi:type="dcterms:W3CDTF">2025-11-24T06:26:52Z</dcterms:modified>
</cp:coreProperties>
</file>